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8.xml" ContentType="application/vnd.openxmlformats-officedocument.drawingml.chartshap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9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labavimex-my.sharepoint.com/personal/rodrigo_yebra_labavimex_onmicrosoft_com1/Documents/Escritorio/"/>
    </mc:Choice>
  </mc:AlternateContent>
  <xr:revisionPtr revIDLastSave="0" documentId="8_{C9609344-0078-412D-A2F0-815676D9BD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ellcube 100 + BIOSTAT RM" sheetId="1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6" i="14" l="1"/>
  <c r="AW18" i="14"/>
  <c r="AU18" i="14"/>
  <c r="AS57" i="14"/>
  <c r="AQ57" i="14"/>
  <c r="AJ91" i="14"/>
  <c r="AJ90" i="14"/>
  <c r="AJ92" i="14"/>
  <c r="AH81" i="14"/>
  <c r="AH66" i="14"/>
  <c r="AP58" i="14"/>
  <c r="AQ58" i="14" s="1"/>
  <c r="AP59" i="14"/>
  <c r="AQ59" i="14" s="1"/>
  <c r="AP60" i="14"/>
  <c r="AQ60" i="14" s="1"/>
  <c r="AP61" i="14"/>
  <c r="AQ61" i="14" s="1"/>
  <c r="AP57" i="14"/>
  <c r="AM57" i="14"/>
  <c r="AM58" i="14"/>
  <c r="AM59" i="14"/>
  <c r="AM60" i="14"/>
  <c r="AM61" i="14"/>
  <c r="AH51" i="14"/>
  <c r="AS61" i="14" l="1"/>
  <c r="AS60" i="14"/>
  <c r="AS59" i="14"/>
  <c r="AS58" i="14"/>
  <c r="D16" i="14" l="1"/>
  <c r="D17" i="14"/>
  <c r="D18" i="14"/>
  <c r="D19" i="14"/>
  <c r="D20" i="14"/>
  <c r="D21" i="14"/>
  <c r="D13" i="14"/>
  <c r="D14" i="14"/>
  <c r="D15" i="14"/>
  <c r="AT18" i="14"/>
  <c r="C46" i="14"/>
  <c r="D46" i="14"/>
  <c r="E46" i="14"/>
  <c r="F46" i="14"/>
  <c r="G46" i="14"/>
  <c r="H46" i="14"/>
  <c r="I46" i="14"/>
  <c r="I45" i="14"/>
  <c r="D12" i="14"/>
  <c r="H45" i="14"/>
  <c r="G45" i="14"/>
  <c r="F45" i="14"/>
  <c r="E45" i="14"/>
  <c r="D45" i="14"/>
  <c r="C45" i="14"/>
  <c r="I44" i="14"/>
  <c r="H44" i="14"/>
  <c r="G44" i="14"/>
  <c r="F44" i="14"/>
  <c r="E44" i="14"/>
  <c r="D44" i="14"/>
  <c r="C44" i="14"/>
  <c r="I43" i="14"/>
  <c r="H43" i="14"/>
  <c r="G43" i="14"/>
  <c r="F43" i="14"/>
  <c r="E43" i="14"/>
  <c r="D43" i="14"/>
  <c r="C43" i="14"/>
  <c r="I42" i="14"/>
  <c r="H42" i="14"/>
  <c r="G42" i="14"/>
  <c r="F42" i="14"/>
  <c r="E42" i="14"/>
  <c r="D42" i="14"/>
  <c r="C42" i="14"/>
  <c r="I41" i="14"/>
  <c r="H41" i="14"/>
  <c r="G41" i="14"/>
  <c r="F41" i="14"/>
  <c r="E41" i="14"/>
  <c r="D41" i="14"/>
  <c r="C41" i="14"/>
  <c r="I40" i="14"/>
  <c r="H40" i="14"/>
  <c r="G40" i="14"/>
  <c r="F40" i="14"/>
  <c r="E40" i="14"/>
  <c r="D40" i="14"/>
  <c r="C40" i="14"/>
  <c r="I39" i="14"/>
  <c r="H39" i="14"/>
  <c r="G39" i="14"/>
  <c r="F39" i="14"/>
  <c r="E39" i="14"/>
  <c r="D39" i="14"/>
  <c r="C39" i="14"/>
  <c r="B39" i="14"/>
  <c r="AP18" i="14"/>
  <c r="AN13" i="14"/>
  <c r="D11" i="14"/>
  <c r="D10" i="14"/>
  <c r="D9" i="14"/>
  <c r="AI8" i="14"/>
  <c r="D8" i="14"/>
  <c r="D7" i="14"/>
  <c r="D6" i="14"/>
  <c r="E6" i="14" s="1"/>
  <c r="B40" i="14" s="1"/>
  <c r="N46" i="14" l="1"/>
  <c r="O43" i="14"/>
  <c r="O42" i="14"/>
  <c r="P42" i="14"/>
  <c r="N45" i="14"/>
  <c r="P46" i="14"/>
  <c r="M46" i="14"/>
  <c r="L46" i="14"/>
  <c r="O46" i="14"/>
  <c r="K46" i="14"/>
  <c r="P44" i="14"/>
  <c r="AV18" i="14"/>
  <c r="L45" i="14"/>
  <c r="K43" i="14"/>
  <c r="M45" i="14"/>
  <c r="M43" i="14"/>
  <c r="N44" i="14"/>
  <c r="O45" i="14"/>
  <c r="L44" i="14"/>
  <c r="L43" i="14"/>
  <c r="M44" i="14"/>
  <c r="M42" i="14"/>
  <c r="N43" i="14"/>
  <c r="O44" i="14"/>
  <c r="P45" i="14"/>
  <c r="P43" i="14"/>
  <c r="P39" i="14"/>
  <c r="N42" i="14"/>
  <c r="L41" i="14"/>
  <c r="K44" i="14"/>
  <c r="K40" i="14"/>
  <c r="M41" i="14"/>
  <c r="N41" i="14"/>
  <c r="P41" i="14"/>
  <c r="K41" i="14"/>
  <c r="O41" i="14"/>
  <c r="M40" i="14"/>
  <c r="N40" i="14"/>
  <c r="O40" i="14"/>
  <c r="P40" i="14"/>
  <c r="L40" i="14"/>
  <c r="K39" i="14"/>
  <c r="N39" i="14"/>
  <c r="L39" i="14"/>
  <c r="O39" i="14"/>
  <c r="M39" i="14"/>
  <c r="E7" i="14"/>
  <c r="K42" i="14"/>
  <c r="L42" i="14"/>
  <c r="K45" i="14"/>
  <c r="B41" i="14" l="1"/>
  <c r="E8" i="14"/>
  <c r="B42" i="14" s="1"/>
  <c r="E9" i="14" l="1"/>
  <c r="E10" i="14" l="1"/>
  <c r="E11" i="14" s="1"/>
  <c r="E12" i="14" s="1"/>
  <c r="B46" i="14" s="1"/>
  <c r="B43" i="14"/>
  <c r="B44" i="14" l="1"/>
  <c r="E13" i="14"/>
  <c r="E14" i="14" s="1"/>
  <c r="E15" i="14" s="1"/>
  <c r="E16" i="14" s="1"/>
  <c r="E17" i="14" s="1"/>
  <c r="E18" i="14" s="1"/>
  <c r="E19" i="14" s="1"/>
  <c r="E20" i="14" s="1"/>
  <c r="E21" i="14" s="1"/>
  <c r="B45" i="14"/>
</calcChain>
</file>

<file path=xl/sharedStrings.xml><?xml version="1.0" encoding="utf-8"?>
<sst xmlns="http://schemas.openxmlformats.org/spreadsheetml/2006/main" count="180" uniqueCount="117">
  <si>
    <t xml:space="preserve">No. </t>
  </si>
  <si>
    <t>Fecha</t>
  </si>
  <si>
    <t>Hora</t>
  </si>
  <si>
    <t>Volumen Operativo (mL)</t>
  </si>
  <si>
    <t>Glucosa [g/L]</t>
  </si>
  <si>
    <t>Lactato [g/L]</t>
  </si>
  <si>
    <t>Glutamina [mM]</t>
  </si>
  <si>
    <t>Glutamato [mM]</t>
  </si>
  <si>
    <t>Amonio [mg/L]</t>
  </si>
  <si>
    <t>Potasio [mg/L]</t>
  </si>
  <si>
    <t>Temp [°C]</t>
  </si>
  <si>
    <t>Tiempo de cultivo (h)</t>
  </si>
  <si>
    <t>Tiempo al anterior punto</t>
  </si>
  <si>
    <t>Observaciones</t>
  </si>
  <si>
    <t>Comportamiento metabólico</t>
  </si>
  <si>
    <t>.</t>
  </si>
  <si>
    <t>Velocidad de agit. rpm | ° | rocks</t>
  </si>
  <si>
    <t>Velocidad de crecimiento celular</t>
  </si>
  <si>
    <t>Vol. Semilla viral</t>
  </si>
  <si>
    <t>Título semilla viral</t>
  </si>
  <si>
    <t>MOI real</t>
  </si>
  <si>
    <t>MOI estimado</t>
  </si>
  <si>
    <t xml:space="preserve">mL </t>
  </si>
  <si>
    <t>DICC/cél</t>
  </si>
  <si>
    <t>cél/mL</t>
  </si>
  <si>
    <t>Log 10 DICC50%/mL</t>
  </si>
  <si>
    <t>Semilla viral utilizada</t>
  </si>
  <si>
    <t>Vol. de semilla  utilizado (mL)</t>
  </si>
  <si>
    <t>Título semilla (log 10 DICC50%/mL)</t>
  </si>
  <si>
    <t>Partículas virales iniciales</t>
  </si>
  <si>
    <t>Hpi</t>
  </si>
  <si>
    <t>Volumen en infección / cosechado (mL)</t>
  </si>
  <si>
    <t>Partículas virales</t>
  </si>
  <si>
    <t>Máximo valor de células (en infección)</t>
  </si>
  <si>
    <t>Cell Specific Virus Yield (Virus/cel)</t>
  </si>
  <si>
    <t>Rendimiento viral (%)</t>
  </si>
  <si>
    <t>pH</t>
  </si>
  <si>
    <t>% OD</t>
  </si>
  <si>
    <t>na</t>
  </si>
  <si>
    <t>Amonio (mg)</t>
  </si>
  <si>
    <t>Potasio (mg)</t>
  </si>
  <si>
    <t>DC  al infectar (t0)</t>
  </si>
  <si>
    <t>Titulo por EFC (log 10 DICC/mL)</t>
  </si>
  <si>
    <t>Vol. Total de infección</t>
  </si>
  <si>
    <t>Glucosa (g)</t>
  </si>
  <si>
    <t>Lactato (g)</t>
  </si>
  <si>
    <t>Glutamina [mmol]</t>
  </si>
  <si>
    <t>Glutamato [mmol]</t>
  </si>
  <si>
    <r>
      <t xml:space="preserve">Inoculación en bolsa de 50L: </t>
    </r>
    <r>
      <rPr>
        <b/>
        <sz val="11"/>
        <color theme="1"/>
        <rFont val="Calibri"/>
        <family val="2"/>
        <scheme val="minor"/>
      </rPr>
      <t>15:00</t>
    </r>
    <r>
      <rPr>
        <sz val="11"/>
        <color theme="1"/>
        <rFont val="Calibri"/>
        <family val="2"/>
        <scheme val="minor"/>
      </rPr>
      <t xml:space="preserve"> | 2,000 mL inóc. Celular + 4000 mL AEM Acondic. | Setpoint --&gt; </t>
    </r>
    <r>
      <rPr>
        <b/>
        <sz val="11"/>
        <color theme="1"/>
        <rFont val="Calibri"/>
        <family val="2"/>
        <scheme val="minor"/>
      </rPr>
      <t>pH:</t>
    </r>
    <r>
      <rPr>
        <sz val="11"/>
        <color theme="1"/>
        <rFont val="Calibri"/>
        <family val="2"/>
        <scheme val="minor"/>
      </rPr>
      <t xml:space="preserve"> 7.45 </t>
    </r>
    <r>
      <rPr>
        <b/>
        <sz val="11"/>
        <color theme="1"/>
        <rFont val="Calibri"/>
        <family val="2"/>
        <scheme val="minor"/>
      </rPr>
      <t xml:space="preserve">OD: </t>
    </r>
    <r>
      <rPr>
        <sz val="11"/>
        <color theme="1"/>
        <rFont val="Calibri"/>
        <family val="2"/>
        <scheme val="minor"/>
      </rPr>
      <t xml:space="preserve">45% </t>
    </r>
    <r>
      <rPr>
        <b/>
        <sz val="11"/>
        <color theme="1"/>
        <rFont val="Calibri"/>
        <family val="2"/>
        <scheme val="minor"/>
      </rPr>
      <t>temp.:</t>
    </r>
    <r>
      <rPr>
        <sz val="11"/>
        <color theme="1"/>
        <rFont val="Calibri"/>
        <family val="2"/>
        <scheme val="minor"/>
      </rPr>
      <t xml:space="preserve"> 37°C</t>
    </r>
  </si>
  <si>
    <t>Monitoreo y se mantiene en lote (1era alimentación a las 45 h de lote posterior a la inoculación - inicio 12:00 03ago25)</t>
  </si>
  <si>
    <r>
      <t xml:space="preserve">Inicio de 2da alimentación: </t>
    </r>
    <r>
      <rPr>
        <b/>
        <sz val="11"/>
        <color theme="1"/>
        <rFont val="Calibri"/>
        <family val="2"/>
        <scheme val="minor"/>
      </rPr>
      <t>08:00</t>
    </r>
    <r>
      <rPr>
        <sz val="11"/>
        <color theme="1"/>
        <rFont val="Calibri"/>
        <family val="2"/>
        <scheme val="minor"/>
      </rPr>
      <t xml:space="preserve"> | Se infecta cultivo a las </t>
    </r>
    <r>
      <rPr>
        <b/>
        <sz val="11"/>
        <color theme="1"/>
        <rFont val="Calibri"/>
        <family val="2"/>
        <scheme val="minor"/>
      </rPr>
      <t>12:00</t>
    </r>
    <r>
      <rPr>
        <sz val="11"/>
        <color theme="1"/>
        <rFont val="Calibri"/>
        <family val="2"/>
        <scheme val="minor"/>
      </rPr>
      <t xml:space="preserve"> (vol al infectar 23L) + 100 mL L-Glutamina + 450 mL SP </t>
    </r>
  </si>
  <si>
    <r>
      <rPr>
        <b/>
        <sz val="11"/>
        <color theme="1"/>
        <rFont val="Calibri"/>
        <family val="2"/>
        <scheme val="minor"/>
      </rPr>
      <t>to</t>
    </r>
    <r>
      <rPr>
        <sz val="11"/>
        <color theme="1"/>
        <rFont val="Calibri"/>
        <family val="2"/>
        <scheme val="minor"/>
      </rPr>
      <t xml:space="preserve"> infección (4 hpi) | Fin de segunda alimentación a las 15:15</t>
    </r>
  </si>
  <si>
    <r>
      <rPr>
        <b/>
        <sz val="11"/>
        <color theme="1"/>
        <rFont val="Calibri"/>
        <family val="2"/>
        <scheme val="minor"/>
      </rPr>
      <t xml:space="preserve">t1 </t>
    </r>
    <r>
      <rPr>
        <sz val="11"/>
        <color theme="1"/>
        <rFont val="Calibri"/>
        <family val="2"/>
        <scheme val="minor"/>
      </rPr>
      <t>infección (29 hpi)</t>
    </r>
  </si>
  <si>
    <r>
      <rPr>
        <b/>
        <sz val="11"/>
        <color theme="1"/>
        <rFont val="Calibri"/>
        <family val="2"/>
        <scheme val="minor"/>
      </rPr>
      <t>t2</t>
    </r>
    <r>
      <rPr>
        <sz val="11"/>
        <color theme="1"/>
        <rFont val="Calibri"/>
        <family val="2"/>
        <scheme val="minor"/>
      </rPr>
      <t xml:space="preserve"> infección (44 hpi)</t>
    </r>
  </si>
  <si>
    <r>
      <rPr>
        <b/>
        <sz val="11"/>
        <color theme="1"/>
        <rFont val="Calibri"/>
        <family val="2"/>
        <scheme val="minor"/>
      </rPr>
      <t>t3</t>
    </r>
    <r>
      <rPr>
        <sz val="11"/>
        <color theme="1"/>
        <rFont val="Calibri"/>
        <family val="2"/>
        <scheme val="minor"/>
      </rPr>
      <t xml:space="preserve"> infección (</t>
    </r>
    <r>
      <rPr>
        <b/>
        <sz val="11"/>
        <color theme="1"/>
        <rFont val="Calibri"/>
        <family val="2"/>
        <scheme val="minor"/>
      </rPr>
      <t>68 hpi</t>
    </r>
    <r>
      <rPr>
        <sz val="11"/>
        <color theme="1"/>
        <rFont val="Calibri"/>
        <family val="2"/>
        <scheme val="minor"/>
      </rPr>
      <t xml:space="preserve">) | </t>
    </r>
    <r>
      <rPr>
        <b/>
        <sz val="11"/>
        <color theme="1"/>
        <rFont val="Calibri"/>
        <family val="2"/>
        <scheme val="minor"/>
      </rPr>
      <t>Fin del cultivo 13:30</t>
    </r>
  </si>
  <si>
    <r>
      <t xml:space="preserve">00:00 </t>
    </r>
    <r>
      <rPr>
        <sz val="11"/>
        <color theme="1"/>
        <rFont val="Calibri"/>
        <family val="2"/>
        <scheme val="minor"/>
      </rPr>
      <t>inicia el descenso de temperatura. Fin del cultivo 08:00</t>
    </r>
    <r>
      <rPr>
        <b/>
        <sz val="11"/>
        <color theme="1"/>
        <rFont val="Calibri"/>
        <family val="2"/>
        <scheme val="minor"/>
      </rPr>
      <t xml:space="preserve"> (92 hpi)</t>
    </r>
  </si>
  <si>
    <r>
      <t xml:space="preserve">Laboratorio Avi-Mex, S.A. de C.V.                                   Mejora y Nuevos Productos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SP-AdV11 2662                                                                                             Lote: 24R142401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Fecha: 11JUL2024                                                                                  45.0 mL Conservar a -70°C (+/- 5°C)</t>
    </r>
  </si>
  <si>
    <t>Confluencia (%)</t>
  </si>
  <si>
    <t>15 r y 4°</t>
  </si>
  <si>
    <t>Flujo de recirculación (rpm)</t>
  </si>
  <si>
    <t>Cellcube 100 + BIOSTAT RM</t>
  </si>
  <si>
    <t>Carga viral (pv/mL)</t>
  </si>
  <si>
    <t>UHA</t>
  </si>
  <si>
    <t>Título viral (EFC)</t>
  </si>
  <si>
    <t>Título viral (HA)</t>
  </si>
  <si>
    <t>Cosecha</t>
  </si>
  <si>
    <t>Carga viral</t>
  </si>
  <si>
    <t>EFC</t>
  </si>
  <si>
    <t>HA</t>
  </si>
  <si>
    <t>Condiciones de infección con SP-OA-MGG55</t>
  </si>
  <si>
    <t>Vol total</t>
  </si>
  <si>
    <t>Título promedio</t>
  </si>
  <si>
    <t>Día de cosecha</t>
  </si>
  <si>
    <t>Identidad</t>
  </si>
  <si>
    <t>Positivo</t>
  </si>
  <si>
    <t>Biología molecular</t>
  </si>
  <si>
    <t>Titulaciones por cosecha</t>
  </si>
  <si>
    <r>
      <t>EFC (Log10 DICC</t>
    </r>
    <r>
      <rPr>
        <b/>
        <sz val="8"/>
        <color theme="1"/>
        <rFont val="Calibri"/>
        <family val="2"/>
        <scheme val="minor"/>
      </rPr>
      <t>50%</t>
    </r>
    <r>
      <rPr>
        <b/>
        <sz val="11"/>
        <color theme="1"/>
        <rFont val="Calibri"/>
        <family val="2"/>
        <scheme val="minor"/>
      </rPr>
      <t>/mL)</t>
    </r>
  </si>
  <si>
    <r>
      <t>HA(Log10 DICC</t>
    </r>
    <r>
      <rPr>
        <b/>
        <sz val="8"/>
        <color theme="1"/>
        <rFont val="Calibri"/>
        <family val="2"/>
        <scheme val="minor"/>
      </rPr>
      <t>50%</t>
    </r>
    <r>
      <rPr>
        <b/>
        <sz val="11"/>
        <color theme="1"/>
        <rFont val="Calibri"/>
        <family val="2"/>
        <scheme val="minor"/>
      </rPr>
      <t>/mL)</t>
    </r>
  </si>
  <si>
    <t>Vol. de cosecha (mL)</t>
  </si>
  <si>
    <t>Tabla resumen de cinco cosechas generadas en plataforma Cellcube 100</t>
  </si>
  <si>
    <t>Vol total (mL)</t>
  </si>
  <si>
    <t>Partículas virales de infección</t>
  </si>
  <si>
    <t>Comparativas respecto a Cellcube</t>
  </si>
  <si>
    <t>Primera prueba de concepto</t>
  </si>
  <si>
    <t>Plataforma utilizada</t>
  </si>
  <si>
    <t>Cellube 25</t>
  </si>
  <si>
    <t>Volumen de operación (L)</t>
  </si>
  <si>
    <t>Vol. Cosecha 1 (L)</t>
  </si>
  <si>
    <t>Vol. Cosecha 2 (L)</t>
  </si>
  <si>
    <t>Vol. Cosecha 3 (L)</t>
  </si>
  <si>
    <t>Vol. Cosecha 4 (L)</t>
  </si>
  <si>
    <t>Volumen total (L)</t>
  </si>
  <si>
    <t>Cellube 100</t>
  </si>
  <si>
    <t>Vol. Cosecha 5 (L)</t>
  </si>
  <si>
    <t>Vol. Total (L)</t>
  </si>
  <si>
    <t>Título viral de infección (Log10 DIC50%/mL)</t>
  </si>
  <si>
    <t>Volumen obtenido (mL)</t>
  </si>
  <si>
    <t>Título viral final por HA (Log10 DIC50%/mL)</t>
  </si>
  <si>
    <t>Partículas virales totales iniciales</t>
  </si>
  <si>
    <t>Partículas virales totales finales</t>
  </si>
  <si>
    <t>Tiempo por cosecha (h)</t>
  </si>
  <si>
    <t>Vol. viral inicial (mL)</t>
  </si>
  <si>
    <r>
      <t>Área superficial (cm</t>
    </r>
    <r>
      <rPr>
        <b/>
        <sz val="11"/>
        <color theme="1"/>
        <rFont val="Aptos Narrow"/>
        <family val="2"/>
      </rPr>
      <t>²)</t>
    </r>
  </si>
  <si>
    <t>Segunda prueba de concepto</t>
  </si>
  <si>
    <r>
      <t>Productividad viral (DICC/cm²</t>
    </r>
    <r>
      <rPr>
        <b/>
        <sz val="11"/>
        <color theme="1"/>
        <rFont val="Calibri"/>
        <family val="2"/>
      </rPr>
      <t>·h</t>
    </r>
    <r>
      <rPr>
        <b/>
        <sz val="11"/>
        <color theme="1"/>
        <rFont val="Aptos Narrow"/>
        <family val="2"/>
      </rPr>
      <t>)</t>
    </r>
  </si>
  <si>
    <t>Proceso productivo actual</t>
  </si>
  <si>
    <t>6 CellFactorys</t>
  </si>
  <si>
    <t>2.5 /CF</t>
  </si>
  <si>
    <t>Promedio título viral (Log10 DICC50%/mL)</t>
  </si>
  <si>
    <t>Comparativa</t>
  </si>
  <si>
    <t>Cellcube 25</t>
  </si>
  <si>
    <t>Cellcube 100</t>
  </si>
  <si>
    <t>Volumen a obtener (mL)</t>
  </si>
  <si>
    <t>Área superficial  (cm²)</t>
  </si>
  <si>
    <t>Relación mL/cm^2</t>
  </si>
  <si>
    <t>FALTA ACTUALIZAR DATO DE SEMILLA VIRAL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</si>
</sst>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\-mmm\-yyyy"/>
    <numFmt numFmtId="165" formatCode="0.000"/>
    <numFmt numFmtId="166" formatCode="0.0"/>
    <numFmt numFmtId="167" formatCode="0.00000"/>
    <numFmt numFmtId="168" formatCode="0.0000"/>
    <numFmt numFmtId="169" formatCode="0.000E+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Aptos Narrow"/>
      <family val="2"/>
    </font>
    <font>
      <sz val="11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7AB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E1FB"/>
        <bgColor indexed="64"/>
      </patternFill>
    </fill>
    <fill>
      <patternFill patternType="solid">
        <fgColor rgb="FFBC9B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6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5" xfId="0" applyFont="1" applyBorder="1"/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11" xfId="0" applyBorder="1"/>
    <xf numFmtId="0" fontId="0" fillId="2" borderId="7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1" xfId="0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11" fontId="0" fillId="0" borderId="21" xfId="0" applyNumberFormat="1" applyBorder="1" applyAlignment="1">
      <alignment horizontal="center" vertical="center"/>
    </xf>
    <xf numFmtId="0" fontId="0" fillId="2" borderId="5" xfId="0" applyFill="1" applyBorder="1"/>
    <xf numFmtId="0" fontId="0" fillId="2" borderId="6" xfId="0" applyFill="1" applyBorder="1"/>
    <xf numFmtId="2" fontId="0" fillId="2" borderId="4" xfId="0" applyNumberFormat="1" applyFill="1" applyBorder="1" applyAlignment="1">
      <alignment horizontal="center" vertical="center"/>
    </xf>
    <xf numFmtId="2" fontId="0" fillId="2" borderId="11" xfId="0" applyNumberFormat="1" applyFill="1" applyBorder="1" applyAlignment="1">
      <alignment horizontal="center" vertical="center"/>
    </xf>
    <xf numFmtId="2" fontId="0" fillId="2" borderId="6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164" fontId="0" fillId="0" borderId="3" xfId="0" applyNumberFormat="1" applyBorder="1" applyAlignment="1">
      <alignment horizontal="center" vertical="center"/>
    </xf>
    <xf numFmtId="20" fontId="0" fillId="0" borderId="3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20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/>
    </xf>
    <xf numFmtId="166" fontId="0" fillId="0" borderId="3" xfId="0" applyNumberFormat="1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2" fontId="0" fillId="0" borderId="8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11" fontId="0" fillId="0" borderId="1" xfId="0" applyNumberFormat="1" applyBorder="1" applyAlignment="1">
      <alignment horizontal="center" vertical="center" wrapText="1"/>
    </xf>
    <xf numFmtId="11" fontId="0" fillId="0" borderId="7" xfId="0" applyNumberFormat="1" applyBorder="1" applyAlignment="1">
      <alignment horizontal="center" vertical="center" wrapText="1"/>
    </xf>
    <xf numFmtId="11" fontId="1" fillId="0" borderId="7" xfId="0" applyNumberFormat="1" applyFont="1" applyBorder="1" applyAlignment="1">
      <alignment horizontal="center" vertical="center" wrapText="1"/>
    </xf>
    <xf numFmtId="11" fontId="1" fillId="0" borderId="2" xfId="0" applyNumberFormat="1" applyFont="1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0" fillId="0" borderId="25" xfId="0" applyBorder="1" applyAlignment="1">
      <alignment horizontal="center" vertical="center" wrapText="1"/>
    </xf>
    <xf numFmtId="11" fontId="0" fillId="0" borderId="25" xfId="0" applyNumberFormat="1" applyBorder="1" applyAlignment="1">
      <alignment horizontal="center" vertical="center" wrapText="1"/>
    </xf>
    <xf numFmtId="11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 vertical="center"/>
    </xf>
    <xf numFmtId="166" fontId="5" fillId="0" borderId="0" xfId="1" applyNumberFormat="1" applyFont="1" applyFill="1" applyBorder="1" applyAlignment="1">
      <alignment horizontal="center" vertical="center"/>
    </xf>
    <xf numFmtId="168" fontId="2" fillId="0" borderId="5" xfId="0" applyNumberFormat="1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25" xfId="0" applyBorder="1" applyAlignment="1">
      <alignment horizontal="center" vertical="center"/>
    </xf>
    <xf numFmtId="15" fontId="1" fillId="0" borderId="25" xfId="0" applyNumberFormat="1" applyFont="1" applyBorder="1" applyAlignment="1">
      <alignment horizontal="center" vertical="center"/>
    </xf>
    <xf numFmtId="0" fontId="1" fillId="6" borderId="25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 vertical="center"/>
    </xf>
    <xf numFmtId="15" fontId="1" fillId="2" borderId="25" xfId="0" applyNumberFormat="1" applyFont="1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 wrapText="1"/>
    </xf>
    <xf numFmtId="11" fontId="0" fillId="2" borderId="25" xfId="0" applyNumberFormat="1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/>
    </xf>
    <xf numFmtId="0" fontId="1" fillId="6" borderId="25" xfId="0" applyFont="1" applyFill="1" applyBorder="1" applyAlignment="1">
      <alignment horizontal="center" vertical="center"/>
    </xf>
    <xf numFmtId="11" fontId="0" fillId="0" borderId="25" xfId="0" applyNumberFormat="1" applyBorder="1" applyAlignment="1">
      <alignment horizontal="center"/>
    </xf>
    <xf numFmtId="0" fontId="1" fillId="0" borderId="25" xfId="0" applyFont="1" applyBorder="1" applyAlignment="1">
      <alignment horizontal="center"/>
    </xf>
    <xf numFmtId="11" fontId="0" fillId="0" borderId="25" xfId="0" applyNumberFormat="1" applyBorder="1" applyAlignment="1">
      <alignment horizontal="center" vertical="center"/>
    </xf>
    <xf numFmtId="1" fontId="0" fillId="0" borderId="25" xfId="0" applyNumberFormat="1" applyBorder="1" applyAlignment="1">
      <alignment horizontal="center" vertical="center"/>
    </xf>
    <xf numFmtId="0" fontId="1" fillId="10" borderId="25" xfId="0" applyFont="1" applyFill="1" applyBorder="1" applyAlignment="1">
      <alignment horizontal="center"/>
    </xf>
    <xf numFmtId="0" fontId="0" fillId="10" borderId="25" xfId="0" applyFill="1" applyBorder="1" applyAlignment="1">
      <alignment horizontal="center"/>
    </xf>
    <xf numFmtId="11" fontId="0" fillId="10" borderId="25" xfId="0" applyNumberFormat="1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 wrapText="1"/>
    </xf>
    <xf numFmtId="1" fontId="0" fillId="10" borderId="25" xfId="0" applyNumberFormat="1" applyFill="1" applyBorder="1" applyAlignment="1">
      <alignment horizontal="center" vertical="center"/>
    </xf>
    <xf numFmtId="0" fontId="1" fillId="13" borderId="33" xfId="0" applyFont="1" applyFill="1" applyBorder="1"/>
    <xf numFmtId="0" fontId="0" fillId="0" borderId="34" xfId="0" applyBorder="1" applyAlignment="1">
      <alignment horizontal="center" vertical="center"/>
    </xf>
    <xf numFmtId="0" fontId="1" fillId="13" borderId="35" xfId="0" applyFont="1" applyFill="1" applyBorder="1"/>
    <xf numFmtId="3" fontId="0" fillId="0" borderId="36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" fillId="2" borderId="33" xfId="0" applyFont="1" applyFill="1" applyBorder="1"/>
    <xf numFmtId="0" fontId="1" fillId="2" borderId="35" xfId="0" applyFont="1" applyFill="1" applyBorder="1"/>
    <xf numFmtId="2" fontId="0" fillId="0" borderId="25" xfId="0" applyNumberFormat="1" applyBorder="1" applyAlignment="1">
      <alignment horizontal="center" vertical="center"/>
    </xf>
    <xf numFmtId="2" fontId="0" fillId="10" borderId="25" xfId="0" applyNumberFormat="1" applyFill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/>
    </xf>
    <xf numFmtId="0" fontId="1" fillId="15" borderId="33" xfId="0" applyFont="1" applyFill="1" applyBorder="1"/>
    <xf numFmtId="0" fontId="1" fillId="15" borderId="35" xfId="0" applyFont="1" applyFill="1" applyBorder="1"/>
    <xf numFmtId="0" fontId="1" fillId="15" borderId="39" xfId="0" applyFont="1" applyFill="1" applyBorder="1"/>
    <xf numFmtId="3" fontId="0" fillId="0" borderId="25" xfId="0" applyNumberFormat="1" applyBorder="1" applyAlignment="1">
      <alignment horizontal="center" vertical="center" wrapText="1"/>
    </xf>
    <xf numFmtId="2" fontId="0" fillId="0" borderId="36" xfId="0" applyNumberFormat="1" applyBorder="1" applyAlignment="1">
      <alignment horizontal="center" vertical="center" wrapText="1"/>
    </xf>
    <xf numFmtId="3" fontId="0" fillId="0" borderId="42" xfId="0" applyNumberFormat="1" applyBorder="1" applyAlignment="1">
      <alignment horizontal="center" vertical="center" wrapText="1"/>
    </xf>
    <xf numFmtId="2" fontId="0" fillId="0" borderId="38" xfId="0" applyNumberFormat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3" fillId="0" borderId="0" xfId="0" applyFont="1"/>
    <xf numFmtId="0" fontId="6" fillId="0" borderId="21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166" fontId="0" fillId="0" borderId="21" xfId="1" applyNumberFormat="1" applyFont="1" applyFill="1" applyBorder="1" applyAlignment="1">
      <alignment horizontal="center" vertical="center"/>
    </xf>
    <xf numFmtId="11" fontId="0" fillId="9" borderId="21" xfId="0" applyNumberFormat="1" applyFill="1" applyBorder="1" applyAlignment="1">
      <alignment horizontal="center" vertical="center"/>
    </xf>
    <xf numFmtId="168" fontId="0" fillId="9" borderId="21" xfId="0" applyNumberFormat="1" applyFill="1" applyBorder="1" applyAlignment="1">
      <alignment horizontal="center" vertical="center"/>
    </xf>
    <xf numFmtId="0" fontId="0" fillId="16" borderId="41" xfId="0" applyFill="1" applyBorder="1" applyAlignment="1">
      <alignment horizontal="center" vertical="center" wrapText="1"/>
    </xf>
    <xf numFmtId="0" fontId="0" fillId="16" borderId="25" xfId="0" applyFill="1" applyBorder="1" applyAlignment="1">
      <alignment horizontal="center" vertical="center" wrapText="1"/>
    </xf>
    <xf numFmtId="0" fontId="0" fillId="16" borderId="34" xfId="0" applyFill="1" applyBorder="1" applyAlignment="1">
      <alignment horizontal="center" vertical="center" wrapText="1"/>
    </xf>
    <xf numFmtId="0" fontId="0" fillId="16" borderId="36" xfId="0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16" borderId="33" xfId="0" applyFont="1" applyFill="1" applyBorder="1" applyAlignment="1">
      <alignment horizontal="center" vertical="center" wrapText="1"/>
    </xf>
    <xf numFmtId="0" fontId="1" fillId="16" borderId="35" xfId="0" applyFont="1" applyFill="1" applyBorder="1" applyAlignment="1">
      <alignment horizontal="center" vertical="center" wrapText="1"/>
    </xf>
    <xf numFmtId="0" fontId="1" fillId="11" borderId="25" xfId="0" applyFont="1" applyFill="1" applyBorder="1" applyAlignment="1">
      <alignment horizontal="center" vertical="center" wrapText="1"/>
    </xf>
    <xf numFmtId="0" fontId="1" fillId="14" borderId="22" xfId="0" applyFont="1" applyFill="1" applyBorder="1" applyAlignment="1">
      <alignment horizontal="center"/>
    </xf>
    <xf numFmtId="0" fontId="1" fillId="14" borderId="23" xfId="0" applyFont="1" applyFill="1" applyBorder="1" applyAlignment="1">
      <alignment horizontal="center"/>
    </xf>
    <xf numFmtId="0" fontId="1" fillId="15" borderId="35" xfId="0" applyFont="1" applyFill="1" applyBorder="1" applyAlignment="1">
      <alignment horizontal="center" vertical="center" wrapText="1"/>
    </xf>
    <xf numFmtId="0" fontId="1" fillId="15" borderId="37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/>
    </xf>
    <xf numFmtId="0" fontId="0" fillId="0" borderId="38" xfId="0" applyBorder="1" applyAlignment="1">
      <alignment horizontal="center"/>
    </xf>
    <xf numFmtId="0" fontId="1" fillId="2" borderId="35" xfId="0" applyFont="1" applyFill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0" fillId="11" borderId="25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0" fillId="9" borderId="0" xfId="0" applyFill="1" applyAlignment="1">
      <alignment horizontal="center"/>
    </xf>
    <xf numFmtId="0" fontId="1" fillId="12" borderId="16" xfId="0" applyFont="1" applyFill="1" applyBorder="1" applyAlignment="1">
      <alignment horizontal="center"/>
    </xf>
    <xf numFmtId="0" fontId="1" fillId="12" borderId="18" xfId="0" applyFont="1" applyFill="1" applyBorder="1" applyAlignment="1">
      <alignment horizontal="center"/>
    </xf>
    <xf numFmtId="0" fontId="1" fillId="13" borderId="35" xfId="0" applyFont="1" applyFill="1" applyBorder="1" applyAlignment="1">
      <alignment horizontal="center" vertical="center" wrapText="1"/>
    </xf>
    <xf numFmtId="0" fontId="1" fillId="13" borderId="37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6" fillId="8" borderId="17" xfId="0" applyFont="1" applyFill="1" applyBorder="1" applyAlignment="1">
      <alignment horizontal="center" vertical="center" wrapText="1"/>
    </xf>
    <xf numFmtId="0" fontId="6" fillId="8" borderId="15" xfId="0" applyFont="1" applyFill="1" applyBorder="1" applyAlignment="1">
      <alignment horizontal="center" vertical="center" wrapText="1"/>
    </xf>
    <xf numFmtId="0" fontId="6" fillId="8" borderId="18" xfId="0" applyFont="1" applyFill="1" applyBorder="1" applyAlignment="1">
      <alignment horizontal="center" vertical="center" wrapText="1"/>
    </xf>
    <xf numFmtId="0" fontId="6" fillId="8" borderId="20" xfId="0" applyFont="1" applyFill="1" applyBorder="1" applyAlignment="1">
      <alignment horizontal="center" vertical="center" wrapText="1"/>
    </xf>
    <xf numFmtId="0" fontId="6" fillId="8" borderId="2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6" borderId="29" xfId="0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6" borderId="26" xfId="0" applyFont="1" applyFill="1" applyBorder="1" applyAlignment="1">
      <alignment horizontal="center"/>
    </xf>
    <xf numFmtId="0" fontId="1" fillId="6" borderId="27" xfId="0" applyFont="1" applyFill="1" applyBorder="1" applyAlignment="1">
      <alignment horizontal="center"/>
    </xf>
    <xf numFmtId="0" fontId="1" fillId="6" borderId="28" xfId="0" applyFont="1" applyFill="1" applyBorder="1" applyAlignment="1">
      <alignment horizontal="center"/>
    </xf>
    <xf numFmtId="0" fontId="1" fillId="6" borderId="29" xfId="0" applyFont="1" applyFill="1" applyBorder="1" applyAlignment="1">
      <alignment horizontal="center" vertical="center"/>
    </xf>
    <xf numFmtId="0" fontId="1" fillId="6" borderId="30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6" fillId="8" borderId="1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6" fillId="8" borderId="16" xfId="0" applyFont="1" applyFill="1" applyBorder="1" applyAlignment="1">
      <alignment horizontal="center" vertical="center" wrapText="1"/>
    </xf>
    <xf numFmtId="0" fontId="6" fillId="8" borderId="19" xfId="0" applyFont="1" applyFill="1" applyBorder="1" applyAlignment="1">
      <alignment horizontal="center" vertical="center" wrapText="1"/>
    </xf>
    <xf numFmtId="0" fontId="0" fillId="0" borderId="31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/>
    </xf>
    <xf numFmtId="0" fontId="4" fillId="7" borderId="13" xfId="0" applyFont="1" applyFill="1" applyBorder="1" applyAlignment="1">
      <alignment horizontal="center"/>
    </xf>
    <xf numFmtId="0" fontId="4" fillId="7" borderId="14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0" xfId="0" applyBorder="1" applyAlignment="1">
      <alignment horizontal="center"/>
    </xf>
    <xf numFmtId="0" fontId="0" fillId="7" borderId="8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0" fillId="9" borderId="10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11" xfId="0" applyFill="1" applyBorder="1" applyAlignment="1">
      <alignment horizontal="center" vertical="center" wrapText="1"/>
    </xf>
    <xf numFmtId="0" fontId="0" fillId="9" borderId="9" xfId="0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4" borderId="12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BC9BFF"/>
      <color rgb="FFAB81FF"/>
      <color rgb="FFF2E1FB"/>
      <color rgb="FFD5D5FF"/>
      <color rgb="FFC7ABFF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b="1"/>
              <a:t>Comportamiento concentración de L-glutamina y glutamato</a:t>
            </a:r>
            <a:r>
              <a:rPr lang="es-MX" b="1" baseline="0"/>
              <a:t> </a:t>
            </a:r>
            <a:endParaRPr lang="es-MX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8.589794830802025E-2"/>
          <c:y val="0.23148098557507443"/>
          <c:w val="0.85099120703437237"/>
          <c:h val="0.47517420047680259"/>
        </c:manualLayout>
      </c:layout>
      <c:scatterChart>
        <c:scatterStyle val="lineMarker"/>
        <c:varyColors val="0"/>
        <c:ser>
          <c:idx val="0"/>
          <c:order val="0"/>
          <c:tx>
            <c:strRef>
              <c:f>'Cellcube 100 + BIOSTAT RM'!$J$3</c:f>
              <c:strCache>
                <c:ptCount val="1"/>
                <c:pt idx="0">
                  <c:v>Glutamina [mM]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'Cellcube 100 + BIOSTAT RM'!$E$5:$E$21</c:f>
              <c:numCache>
                <c:formatCode>0.00</c:formatCode>
                <c:ptCount val="17"/>
                <c:pt idx="0">
                  <c:v>1</c:v>
                </c:pt>
                <c:pt idx="1">
                  <c:v>18.5</c:v>
                </c:pt>
                <c:pt idx="2">
                  <c:v>45</c:v>
                </c:pt>
                <c:pt idx="3">
                  <c:v>64.5</c:v>
                </c:pt>
                <c:pt idx="4">
                  <c:v>71.75</c:v>
                </c:pt>
                <c:pt idx="5">
                  <c:v>94.5</c:v>
                </c:pt>
                <c:pt idx="6">
                  <c:v>113.75</c:v>
                </c:pt>
                <c:pt idx="7">
                  <c:v>166.5</c:v>
                </c:pt>
                <c:pt idx="8">
                  <c:v>170.5</c:v>
                </c:pt>
                <c:pt idx="9">
                  <c:v>213.75</c:v>
                </c:pt>
                <c:pt idx="10">
                  <c:v>235.5</c:v>
                </c:pt>
                <c:pt idx="11">
                  <c:v>260.5</c:v>
                </c:pt>
                <c:pt idx="12">
                  <c:v>284</c:v>
                </c:pt>
                <c:pt idx="13">
                  <c:v>331.75</c:v>
                </c:pt>
                <c:pt idx="14">
                  <c:v>359.5</c:v>
                </c:pt>
                <c:pt idx="15">
                  <c:v>381.25</c:v>
                </c:pt>
                <c:pt idx="16">
                  <c:v>400.5</c:v>
                </c:pt>
              </c:numCache>
            </c:numRef>
          </c:xVal>
          <c:yVal>
            <c:numRef>
              <c:f>'Cellcube 100 + BIOSTAT RM'!$J$5:$J$21</c:f>
              <c:numCache>
                <c:formatCode>General</c:formatCode>
                <c:ptCount val="17"/>
                <c:pt idx="0">
                  <c:v>5.98</c:v>
                </c:pt>
                <c:pt idx="1">
                  <c:v>5.59</c:v>
                </c:pt>
                <c:pt idx="2">
                  <c:v>5.5</c:v>
                </c:pt>
                <c:pt idx="3">
                  <c:v>5.07</c:v>
                </c:pt>
                <c:pt idx="4">
                  <c:v>4.3600000000000003</c:v>
                </c:pt>
                <c:pt idx="5">
                  <c:v>4.8</c:v>
                </c:pt>
                <c:pt idx="6">
                  <c:v>4.16</c:v>
                </c:pt>
                <c:pt idx="7">
                  <c:v>3.09</c:v>
                </c:pt>
                <c:pt idx="8">
                  <c:v>3.28</c:v>
                </c:pt>
                <c:pt idx="9">
                  <c:v>2.42</c:v>
                </c:pt>
                <c:pt idx="10">
                  <c:v>1.79</c:v>
                </c:pt>
                <c:pt idx="11">
                  <c:v>3.65</c:v>
                </c:pt>
                <c:pt idx="12">
                  <c:v>2.91</c:v>
                </c:pt>
                <c:pt idx="13">
                  <c:v>2.04</c:v>
                </c:pt>
                <c:pt idx="14">
                  <c:v>3.8</c:v>
                </c:pt>
                <c:pt idx="15">
                  <c:v>2.78</c:v>
                </c:pt>
                <c:pt idx="16">
                  <c:v>2.68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22-4E1C-AAD7-01E76875A351}"/>
            </c:ext>
          </c:extLst>
        </c:ser>
        <c:ser>
          <c:idx val="1"/>
          <c:order val="1"/>
          <c:tx>
            <c:strRef>
              <c:f>'Cellcube 100 + BIOSTAT RM'!$K$3</c:f>
              <c:strCache>
                <c:ptCount val="1"/>
                <c:pt idx="0">
                  <c:v>Glutamato [mM]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'Cellcube 100 + BIOSTAT RM'!$E$5:$E$21</c:f>
              <c:numCache>
                <c:formatCode>0.00</c:formatCode>
                <c:ptCount val="17"/>
                <c:pt idx="0">
                  <c:v>1</c:v>
                </c:pt>
                <c:pt idx="1">
                  <c:v>18.5</c:v>
                </c:pt>
                <c:pt idx="2">
                  <c:v>45</c:v>
                </c:pt>
                <c:pt idx="3">
                  <c:v>64.5</c:v>
                </c:pt>
                <c:pt idx="4">
                  <c:v>71.75</c:v>
                </c:pt>
                <c:pt idx="5">
                  <c:v>94.5</c:v>
                </c:pt>
                <c:pt idx="6">
                  <c:v>113.75</c:v>
                </c:pt>
                <c:pt idx="7">
                  <c:v>166.5</c:v>
                </c:pt>
                <c:pt idx="8">
                  <c:v>170.5</c:v>
                </c:pt>
                <c:pt idx="9">
                  <c:v>213.75</c:v>
                </c:pt>
                <c:pt idx="10">
                  <c:v>235.5</c:v>
                </c:pt>
                <c:pt idx="11">
                  <c:v>260.5</c:v>
                </c:pt>
                <c:pt idx="12">
                  <c:v>284</c:v>
                </c:pt>
                <c:pt idx="13">
                  <c:v>331.75</c:v>
                </c:pt>
                <c:pt idx="14">
                  <c:v>359.5</c:v>
                </c:pt>
                <c:pt idx="15">
                  <c:v>381.25</c:v>
                </c:pt>
                <c:pt idx="16">
                  <c:v>400.5</c:v>
                </c:pt>
              </c:numCache>
            </c:numRef>
          </c:xVal>
          <c:yVal>
            <c:numRef>
              <c:f>'Cellcube 100 + BIOSTAT RM'!$K$5:$K$21</c:f>
              <c:numCache>
                <c:formatCode>General</c:formatCode>
                <c:ptCount val="17"/>
                <c:pt idx="0">
                  <c:v>0.188</c:v>
                </c:pt>
                <c:pt idx="1">
                  <c:v>0.24399999999999999</c:v>
                </c:pt>
                <c:pt idx="2">
                  <c:v>0.20300000000000001</c:v>
                </c:pt>
                <c:pt idx="3">
                  <c:v>0.215</c:v>
                </c:pt>
                <c:pt idx="4">
                  <c:v>0.48799999999999999</c:v>
                </c:pt>
                <c:pt idx="5">
                  <c:v>0.495</c:v>
                </c:pt>
                <c:pt idx="6">
                  <c:v>0.41599999999999998</c:v>
                </c:pt>
                <c:pt idx="7">
                  <c:v>0.68799999999999994</c:v>
                </c:pt>
                <c:pt idx="8">
                  <c:v>0.442</c:v>
                </c:pt>
                <c:pt idx="9">
                  <c:v>0.63</c:v>
                </c:pt>
                <c:pt idx="10">
                  <c:v>0.58599999999999997</c:v>
                </c:pt>
                <c:pt idx="11">
                  <c:v>0.44800000000000001</c:v>
                </c:pt>
                <c:pt idx="12">
                  <c:v>0.61099999999999999</c:v>
                </c:pt>
                <c:pt idx="13">
                  <c:v>0.873</c:v>
                </c:pt>
                <c:pt idx="14">
                  <c:v>0.52100000000000002</c:v>
                </c:pt>
                <c:pt idx="15">
                  <c:v>0.76800000000000002</c:v>
                </c:pt>
                <c:pt idx="16">
                  <c:v>0.73099999999999998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22-4E1C-AAD7-01E76875A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673228640"/>
        <c:axId val="-673221568"/>
      </c:scatterChart>
      <c:valAx>
        <c:axId val="-673228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 de cultivo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-673221568"/>
        <c:crosses val="autoZero"/>
        <c:crossBetween val="midCat"/>
      </c:valAx>
      <c:valAx>
        <c:axId val="-67322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-673228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MX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MX" b="1"/>
              <a:t>Comportamiento concentración de glucosa y lactato Cellcube 100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'Cellcube 100 + BIOSTAT RM'!$H$3</c:f>
              <c:strCache>
                <c:ptCount val="1"/>
                <c:pt idx="0">
                  <c:v>Glucosa [g/L]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'Cellcube 100 + BIOSTAT RM'!$E$5:$E$21</c:f>
              <c:numCache>
                <c:formatCode>0.00</c:formatCode>
                <c:ptCount val="17"/>
                <c:pt idx="0">
                  <c:v>1</c:v>
                </c:pt>
                <c:pt idx="1">
                  <c:v>18.5</c:v>
                </c:pt>
                <c:pt idx="2">
                  <c:v>45</c:v>
                </c:pt>
                <c:pt idx="3">
                  <c:v>64.5</c:v>
                </c:pt>
                <c:pt idx="4">
                  <c:v>71.75</c:v>
                </c:pt>
                <c:pt idx="5">
                  <c:v>94.5</c:v>
                </c:pt>
                <c:pt idx="6">
                  <c:v>113.75</c:v>
                </c:pt>
                <c:pt idx="7">
                  <c:v>166.5</c:v>
                </c:pt>
                <c:pt idx="8">
                  <c:v>170.5</c:v>
                </c:pt>
                <c:pt idx="9">
                  <c:v>213.75</c:v>
                </c:pt>
                <c:pt idx="10">
                  <c:v>235.5</c:v>
                </c:pt>
                <c:pt idx="11">
                  <c:v>260.5</c:v>
                </c:pt>
                <c:pt idx="12">
                  <c:v>284</c:v>
                </c:pt>
                <c:pt idx="13">
                  <c:v>331.75</c:v>
                </c:pt>
                <c:pt idx="14">
                  <c:v>359.5</c:v>
                </c:pt>
                <c:pt idx="15">
                  <c:v>381.25</c:v>
                </c:pt>
                <c:pt idx="16">
                  <c:v>400.5</c:v>
                </c:pt>
              </c:numCache>
            </c:numRef>
          </c:xVal>
          <c:yVal>
            <c:numRef>
              <c:f>'Cellcube 100 + BIOSTAT RM'!$H$5:$H$21</c:f>
              <c:numCache>
                <c:formatCode>General</c:formatCode>
                <c:ptCount val="17"/>
                <c:pt idx="0">
                  <c:v>2.5299999999999998</c:v>
                </c:pt>
                <c:pt idx="1">
                  <c:v>2.44</c:v>
                </c:pt>
                <c:pt idx="2">
                  <c:v>2.38</c:v>
                </c:pt>
                <c:pt idx="3">
                  <c:v>2.25</c:v>
                </c:pt>
                <c:pt idx="4">
                  <c:v>2.83</c:v>
                </c:pt>
                <c:pt idx="5">
                  <c:v>2.76</c:v>
                </c:pt>
                <c:pt idx="6">
                  <c:v>2.74</c:v>
                </c:pt>
                <c:pt idx="7">
                  <c:v>2.4700000000000002</c:v>
                </c:pt>
                <c:pt idx="8">
                  <c:v>2.73</c:v>
                </c:pt>
                <c:pt idx="9">
                  <c:v>2.14</c:v>
                </c:pt>
                <c:pt idx="10">
                  <c:v>1.38</c:v>
                </c:pt>
                <c:pt idx="11">
                  <c:v>2.12</c:v>
                </c:pt>
                <c:pt idx="12">
                  <c:v>1.35</c:v>
                </c:pt>
                <c:pt idx="13">
                  <c:v>0.48899999999999999</c:v>
                </c:pt>
                <c:pt idx="14">
                  <c:v>2.0299999999999998</c:v>
                </c:pt>
                <c:pt idx="15">
                  <c:v>1.44</c:v>
                </c:pt>
                <c:pt idx="16">
                  <c:v>0.93300000000000005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4D-4DF8-A4CD-C00326F47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673229184"/>
        <c:axId val="-673226464"/>
      </c:scatterChart>
      <c:scatterChart>
        <c:scatterStyle val="smoothMarker"/>
        <c:varyColors val="0"/>
        <c:ser>
          <c:idx val="1"/>
          <c:order val="1"/>
          <c:tx>
            <c:strRef>
              <c:f>'Cellcube 100 + BIOSTAT RM'!$I$3</c:f>
              <c:strCache>
                <c:ptCount val="1"/>
                <c:pt idx="0">
                  <c:v>Lactato [g/L]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'Cellcube 100 + BIOSTAT RM'!$E$5:$E$21</c:f>
              <c:numCache>
                <c:formatCode>0.00</c:formatCode>
                <c:ptCount val="17"/>
                <c:pt idx="0">
                  <c:v>1</c:v>
                </c:pt>
                <c:pt idx="1">
                  <c:v>18.5</c:v>
                </c:pt>
                <c:pt idx="2">
                  <c:v>45</c:v>
                </c:pt>
                <c:pt idx="3">
                  <c:v>64.5</c:v>
                </c:pt>
                <c:pt idx="4">
                  <c:v>71.75</c:v>
                </c:pt>
                <c:pt idx="5">
                  <c:v>94.5</c:v>
                </c:pt>
                <c:pt idx="6">
                  <c:v>113.75</c:v>
                </c:pt>
                <c:pt idx="7">
                  <c:v>166.5</c:v>
                </c:pt>
                <c:pt idx="8">
                  <c:v>170.5</c:v>
                </c:pt>
                <c:pt idx="9">
                  <c:v>213.75</c:v>
                </c:pt>
                <c:pt idx="10">
                  <c:v>235.5</c:v>
                </c:pt>
                <c:pt idx="11">
                  <c:v>260.5</c:v>
                </c:pt>
                <c:pt idx="12">
                  <c:v>284</c:v>
                </c:pt>
                <c:pt idx="13">
                  <c:v>331.75</c:v>
                </c:pt>
                <c:pt idx="14">
                  <c:v>359.5</c:v>
                </c:pt>
                <c:pt idx="15">
                  <c:v>381.25</c:v>
                </c:pt>
                <c:pt idx="16">
                  <c:v>400.5</c:v>
                </c:pt>
              </c:numCache>
            </c:numRef>
          </c:xVal>
          <c:yVal>
            <c:numRef>
              <c:f>'Cellcube 100 + BIOSTAT RM'!$I$5:$I$21</c:f>
              <c:numCache>
                <c:formatCode>General</c:formatCode>
                <c:ptCount val="17"/>
                <c:pt idx="0">
                  <c:v>0</c:v>
                </c:pt>
                <c:pt idx="1">
                  <c:v>3.5999999999999997E-2</c:v>
                </c:pt>
                <c:pt idx="2">
                  <c:v>8.3000000000000004E-2</c:v>
                </c:pt>
                <c:pt idx="3">
                  <c:v>0.104</c:v>
                </c:pt>
                <c:pt idx="4">
                  <c:v>0</c:v>
                </c:pt>
                <c:pt idx="5">
                  <c:v>2.5999999999999999E-2</c:v>
                </c:pt>
                <c:pt idx="6">
                  <c:v>5.1999999999999998E-2</c:v>
                </c:pt>
                <c:pt idx="7">
                  <c:v>0.17499999999999999</c:v>
                </c:pt>
                <c:pt idx="8">
                  <c:v>8.0000000000000002E-3</c:v>
                </c:pt>
                <c:pt idx="9">
                  <c:v>0.29599999999999999</c:v>
                </c:pt>
                <c:pt idx="10">
                  <c:v>0.51400000000000001</c:v>
                </c:pt>
                <c:pt idx="11">
                  <c:v>0.27700000000000002</c:v>
                </c:pt>
                <c:pt idx="12">
                  <c:v>0.52800000000000002</c:v>
                </c:pt>
                <c:pt idx="13">
                  <c:v>0.66800000000000004</c:v>
                </c:pt>
                <c:pt idx="14">
                  <c:v>0.29399999999999998</c:v>
                </c:pt>
                <c:pt idx="15">
                  <c:v>0.51400000000000001</c:v>
                </c:pt>
                <c:pt idx="16">
                  <c:v>0.63100000000000001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74D-4DF8-A4CD-C00326F47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8403536"/>
        <c:axId val="1288403056"/>
      </c:scatterChart>
      <c:valAx>
        <c:axId val="-673229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 de cultivo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-673226464"/>
        <c:crosses val="autoZero"/>
        <c:crossBetween val="midCat"/>
      </c:valAx>
      <c:valAx>
        <c:axId val="-67322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Glucosa (g/L)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-673229184"/>
        <c:crosses val="autoZero"/>
        <c:crossBetween val="midCat"/>
      </c:valAx>
      <c:valAx>
        <c:axId val="1288403056"/>
        <c:scaling>
          <c:orientation val="minMax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88403536"/>
        <c:crosses val="max"/>
        <c:crossBetween val="midCat"/>
      </c:valAx>
      <c:valAx>
        <c:axId val="1288403536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288403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b="1"/>
              <a:t>Comportamiento concentración de amonio y potasio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0455034960798419"/>
          <c:y val="0.21404033870560188"/>
          <c:w val="0.84533359994094026"/>
          <c:h val="0.49261484734627514"/>
        </c:manualLayout>
      </c:layout>
      <c:scatterChart>
        <c:scatterStyle val="lineMarker"/>
        <c:varyColors val="0"/>
        <c:ser>
          <c:idx val="0"/>
          <c:order val="0"/>
          <c:tx>
            <c:strRef>
              <c:f>'Cellcube 100 + BIOSTAT RM'!$L$3</c:f>
              <c:strCache>
                <c:ptCount val="1"/>
                <c:pt idx="0">
                  <c:v>Amonio [mg/L]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'Cellcube 100 + BIOSTAT RM'!$E$5:$E$21</c:f>
              <c:numCache>
                <c:formatCode>0.00</c:formatCode>
                <c:ptCount val="17"/>
                <c:pt idx="0">
                  <c:v>1</c:v>
                </c:pt>
                <c:pt idx="1">
                  <c:v>18.5</c:v>
                </c:pt>
                <c:pt idx="2">
                  <c:v>45</c:v>
                </c:pt>
                <c:pt idx="3">
                  <c:v>64.5</c:v>
                </c:pt>
                <c:pt idx="4">
                  <c:v>71.75</c:v>
                </c:pt>
                <c:pt idx="5">
                  <c:v>94.5</c:v>
                </c:pt>
                <c:pt idx="6">
                  <c:v>113.75</c:v>
                </c:pt>
                <c:pt idx="7">
                  <c:v>166.5</c:v>
                </c:pt>
                <c:pt idx="8">
                  <c:v>170.5</c:v>
                </c:pt>
                <c:pt idx="9">
                  <c:v>213.75</c:v>
                </c:pt>
                <c:pt idx="10">
                  <c:v>235.5</c:v>
                </c:pt>
                <c:pt idx="11">
                  <c:v>260.5</c:v>
                </c:pt>
                <c:pt idx="12">
                  <c:v>284</c:v>
                </c:pt>
                <c:pt idx="13">
                  <c:v>331.75</c:v>
                </c:pt>
                <c:pt idx="14">
                  <c:v>359.5</c:v>
                </c:pt>
                <c:pt idx="15">
                  <c:v>381.25</c:v>
                </c:pt>
                <c:pt idx="16">
                  <c:v>400.5</c:v>
                </c:pt>
              </c:numCache>
            </c:numRef>
          </c:xVal>
          <c:yVal>
            <c:numRef>
              <c:f>'Cellcube 100 + BIOSTAT RM'!$L$5:$L$21</c:f>
              <c:numCache>
                <c:formatCode>0</c:formatCode>
                <c:ptCount val="17"/>
                <c:pt idx="0">
                  <c:v>28</c:v>
                </c:pt>
                <c:pt idx="1">
                  <c:v>27</c:v>
                </c:pt>
                <c:pt idx="2">
                  <c:v>45</c:v>
                </c:pt>
                <c:pt idx="3">
                  <c:v>40</c:v>
                </c:pt>
                <c:pt idx="4">
                  <c:v>21</c:v>
                </c:pt>
                <c:pt idx="5">
                  <c:v>20</c:v>
                </c:pt>
                <c:pt idx="6">
                  <c:v>30</c:v>
                </c:pt>
                <c:pt idx="7">
                  <c:v>45</c:v>
                </c:pt>
                <c:pt idx="8">
                  <c:v>11</c:v>
                </c:pt>
                <c:pt idx="9">
                  <c:v>46</c:v>
                </c:pt>
                <c:pt idx="10">
                  <c:v>50</c:v>
                </c:pt>
                <c:pt idx="11">
                  <c:v>33</c:v>
                </c:pt>
                <c:pt idx="12">
                  <c:v>39</c:v>
                </c:pt>
                <c:pt idx="13">
                  <c:v>49</c:v>
                </c:pt>
                <c:pt idx="14">
                  <c:v>28</c:v>
                </c:pt>
                <c:pt idx="15">
                  <c:v>40</c:v>
                </c:pt>
                <c:pt idx="16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B6-42E9-81C4-9A53F2CF5286}"/>
            </c:ext>
          </c:extLst>
        </c:ser>
        <c:ser>
          <c:idx val="1"/>
          <c:order val="1"/>
          <c:tx>
            <c:strRef>
              <c:f>'Cellcube 100 + BIOSTAT RM'!$M$3</c:f>
              <c:strCache>
                <c:ptCount val="1"/>
                <c:pt idx="0">
                  <c:v>Potasio [mg/L]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'Cellcube 100 + BIOSTAT RM'!$E$5:$E$21</c:f>
              <c:numCache>
                <c:formatCode>0.00</c:formatCode>
                <c:ptCount val="17"/>
                <c:pt idx="0">
                  <c:v>1</c:v>
                </c:pt>
                <c:pt idx="1">
                  <c:v>18.5</c:v>
                </c:pt>
                <c:pt idx="2">
                  <c:v>45</c:v>
                </c:pt>
                <c:pt idx="3">
                  <c:v>64.5</c:v>
                </c:pt>
                <c:pt idx="4">
                  <c:v>71.75</c:v>
                </c:pt>
                <c:pt idx="5">
                  <c:v>94.5</c:v>
                </c:pt>
                <c:pt idx="6">
                  <c:v>113.75</c:v>
                </c:pt>
                <c:pt idx="7">
                  <c:v>166.5</c:v>
                </c:pt>
                <c:pt idx="8">
                  <c:v>170.5</c:v>
                </c:pt>
                <c:pt idx="9">
                  <c:v>213.75</c:v>
                </c:pt>
                <c:pt idx="10">
                  <c:v>235.5</c:v>
                </c:pt>
                <c:pt idx="11">
                  <c:v>260.5</c:v>
                </c:pt>
                <c:pt idx="12">
                  <c:v>284</c:v>
                </c:pt>
                <c:pt idx="13">
                  <c:v>331.75</c:v>
                </c:pt>
                <c:pt idx="14">
                  <c:v>359.5</c:v>
                </c:pt>
                <c:pt idx="15">
                  <c:v>381.25</c:v>
                </c:pt>
                <c:pt idx="16">
                  <c:v>400.5</c:v>
                </c:pt>
              </c:numCache>
            </c:numRef>
          </c:xVal>
          <c:yVal>
            <c:numRef>
              <c:f>'Cellcube 100 + BIOSTAT RM'!$M$5:$M$21</c:f>
              <c:numCache>
                <c:formatCode>0</c:formatCode>
                <c:ptCount val="17"/>
                <c:pt idx="0">
                  <c:v>136</c:v>
                </c:pt>
                <c:pt idx="1">
                  <c:v>134</c:v>
                </c:pt>
                <c:pt idx="2">
                  <c:v>140</c:v>
                </c:pt>
                <c:pt idx="3">
                  <c:v>140</c:v>
                </c:pt>
                <c:pt idx="4">
                  <c:v>120</c:v>
                </c:pt>
                <c:pt idx="5">
                  <c:v>127</c:v>
                </c:pt>
                <c:pt idx="6">
                  <c:v>135</c:v>
                </c:pt>
                <c:pt idx="7">
                  <c:v>126</c:v>
                </c:pt>
                <c:pt idx="8">
                  <c:v>125</c:v>
                </c:pt>
                <c:pt idx="9">
                  <c:v>113</c:v>
                </c:pt>
                <c:pt idx="10">
                  <c:v>119</c:v>
                </c:pt>
                <c:pt idx="11">
                  <c:v>121</c:v>
                </c:pt>
                <c:pt idx="12">
                  <c:v>119</c:v>
                </c:pt>
                <c:pt idx="13">
                  <c:v>120</c:v>
                </c:pt>
                <c:pt idx="14">
                  <c:v>121</c:v>
                </c:pt>
                <c:pt idx="15">
                  <c:v>119</c:v>
                </c:pt>
                <c:pt idx="16">
                  <c:v>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B6-42E9-81C4-9A53F2CF52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673227552"/>
        <c:axId val="-673221024"/>
      </c:scatterChart>
      <c:valAx>
        <c:axId val="-673227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 de cultivo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-673221024"/>
        <c:crosses val="autoZero"/>
        <c:crossBetween val="midCat"/>
      </c:valAx>
      <c:valAx>
        <c:axId val="-67322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-673227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MX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Ln (X)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6302740930659299E-2"/>
                  <c:y val="0.261696256287970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numRef>
              <c:f>'Expansión celular para STR 50L'!#REF!</c:f>
            </c:numRef>
          </c:xVal>
          <c:yVal>
            <c:numRef>
              <c:f>'Expansión celular para STR 50L'!#REF!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315-4F04-B461-548A8BB70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673220480"/>
        <c:axId val="-841165104"/>
      </c:scatterChart>
      <c:valAx>
        <c:axId val="-6732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-841165104"/>
        <c:crosses val="autoZero"/>
        <c:crossBetween val="midCat"/>
      </c:valAx>
      <c:valAx>
        <c:axId val="-84116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-673220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Comportamiento metabolitos en 25LC-07-12</a:t>
            </a:r>
            <a:r>
              <a:rPr lang="es-MX" baseline="0"/>
              <a:t> HCIst11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'Cellcube 100 + BIOSTAT RM'!$K$37</c:f>
              <c:strCache>
                <c:ptCount val="1"/>
                <c:pt idx="0">
                  <c:v>Glucosa (g)</c:v>
                </c:pt>
              </c:strCache>
            </c:strRef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'Cellcube 100 + BIOSTAT RM'!$B$38:$B$46</c15:sqref>
                  </c15:fullRef>
                </c:ext>
              </c:extLst>
              <c:f>'Cellcube 100 + BIOSTAT RM'!$B$39:$B$46</c:f>
              <c:numCache>
                <c:formatCode>0.00</c:formatCode>
                <c:ptCount val="8"/>
                <c:pt idx="0">
                  <c:v>1</c:v>
                </c:pt>
                <c:pt idx="1">
                  <c:v>18.5</c:v>
                </c:pt>
                <c:pt idx="2">
                  <c:v>45</c:v>
                </c:pt>
                <c:pt idx="3">
                  <c:v>64.5</c:v>
                </c:pt>
                <c:pt idx="4">
                  <c:v>71.75</c:v>
                </c:pt>
                <c:pt idx="5">
                  <c:v>94.5</c:v>
                </c:pt>
                <c:pt idx="6">
                  <c:v>113.75</c:v>
                </c:pt>
                <c:pt idx="7">
                  <c:v>166.5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'Cellcube 100 + BIOSTAT RM'!$K$38:$K$46</c15:sqref>
                  </c15:fullRef>
                </c:ext>
              </c:extLst>
              <c:f>'Cellcube 100 + BIOSTAT RM'!$K$39:$K$46</c:f>
              <c:numCache>
                <c:formatCode>General</c:formatCode>
                <c:ptCount val="8"/>
                <c:pt idx="0">
                  <c:v>35.419999999999995</c:v>
                </c:pt>
                <c:pt idx="1">
                  <c:v>34.159999999999997</c:v>
                </c:pt>
                <c:pt idx="2">
                  <c:v>33.32</c:v>
                </c:pt>
                <c:pt idx="3">
                  <c:v>31.5</c:v>
                </c:pt>
                <c:pt idx="4">
                  <c:v>41.035000000000004</c:v>
                </c:pt>
                <c:pt idx="5">
                  <c:v>40.019999999999996</c:v>
                </c:pt>
                <c:pt idx="6">
                  <c:v>39.730000000000004</c:v>
                </c:pt>
                <c:pt idx="7">
                  <c:v>35.815000000000005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9F-4FF8-BE6C-9C657B3B7109}"/>
            </c:ext>
          </c:extLst>
        </c:ser>
        <c:ser>
          <c:idx val="1"/>
          <c:order val="1"/>
          <c:tx>
            <c:strRef>
              <c:f>'Cellcube 100 + BIOSTAT RM'!$L$37</c:f>
              <c:strCache>
                <c:ptCount val="1"/>
                <c:pt idx="0">
                  <c:v>Lactato (g)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'Cellcube 100 + BIOSTAT RM'!$B$38:$B$46</c15:sqref>
                  </c15:fullRef>
                </c:ext>
              </c:extLst>
              <c:f>'Cellcube 100 + BIOSTAT RM'!$B$39:$B$46</c:f>
              <c:numCache>
                <c:formatCode>0.00</c:formatCode>
                <c:ptCount val="8"/>
                <c:pt idx="0">
                  <c:v>1</c:v>
                </c:pt>
                <c:pt idx="1">
                  <c:v>18.5</c:v>
                </c:pt>
                <c:pt idx="2">
                  <c:v>45</c:v>
                </c:pt>
                <c:pt idx="3">
                  <c:v>64.5</c:v>
                </c:pt>
                <c:pt idx="4">
                  <c:v>71.75</c:v>
                </c:pt>
                <c:pt idx="5">
                  <c:v>94.5</c:v>
                </c:pt>
                <c:pt idx="6">
                  <c:v>113.75</c:v>
                </c:pt>
                <c:pt idx="7">
                  <c:v>166.5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'Cellcube 100 + BIOSTAT RM'!$L$38:$L$46</c15:sqref>
                  </c15:fullRef>
                </c:ext>
              </c:extLst>
              <c:f>'Cellcube 100 + BIOSTAT RM'!$L$39:$L$46</c:f>
              <c:numCache>
                <c:formatCode>General</c:formatCode>
                <c:ptCount val="8"/>
                <c:pt idx="0">
                  <c:v>0</c:v>
                </c:pt>
                <c:pt idx="1">
                  <c:v>0.504</c:v>
                </c:pt>
                <c:pt idx="2">
                  <c:v>1.1620000000000001</c:v>
                </c:pt>
                <c:pt idx="3">
                  <c:v>1.456</c:v>
                </c:pt>
                <c:pt idx="4">
                  <c:v>0</c:v>
                </c:pt>
                <c:pt idx="5">
                  <c:v>0.377</c:v>
                </c:pt>
                <c:pt idx="6">
                  <c:v>0.754</c:v>
                </c:pt>
                <c:pt idx="7">
                  <c:v>2.5374999999999996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9F-4FF8-BE6C-9C657B3B7109}"/>
            </c:ext>
          </c:extLst>
        </c:ser>
        <c:ser>
          <c:idx val="2"/>
          <c:order val="2"/>
          <c:tx>
            <c:strRef>
              <c:f>'Cellcube 100 + BIOSTAT RM'!$M$37</c:f>
              <c:strCache>
                <c:ptCount val="1"/>
                <c:pt idx="0">
                  <c:v>Glutamina [mmol]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'Cellcube 100 + BIOSTAT RM'!$B$38:$B$46</c15:sqref>
                  </c15:fullRef>
                </c:ext>
              </c:extLst>
              <c:f>'Cellcube 100 + BIOSTAT RM'!$B$39:$B$46</c:f>
              <c:numCache>
                <c:formatCode>0.00</c:formatCode>
                <c:ptCount val="8"/>
                <c:pt idx="0">
                  <c:v>1</c:v>
                </c:pt>
                <c:pt idx="1">
                  <c:v>18.5</c:v>
                </c:pt>
                <c:pt idx="2">
                  <c:v>45</c:v>
                </c:pt>
                <c:pt idx="3">
                  <c:v>64.5</c:v>
                </c:pt>
                <c:pt idx="4">
                  <c:v>71.75</c:v>
                </c:pt>
                <c:pt idx="5">
                  <c:v>94.5</c:v>
                </c:pt>
                <c:pt idx="6">
                  <c:v>113.75</c:v>
                </c:pt>
                <c:pt idx="7">
                  <c:v>166.5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'Cellcube 100 + BIOSTAT RM'!$M$38:$M$46</c15:sqref>
                  </c15:fullRef>
                </c:ext>
              </c:extLst>
              <c:f>'Cellcube 100 + BIOSTAT RM'!$M$39:$M$46</c:f>
              <c:numCache>
                <c:formatCode>General</c:formatCode>
                <c:ptCount val="8"/>
                <c:pt idx="0">
                  <c:v>83.72</c:v>
                </c:pt>
                <c:pt idx="1">
                  <c:v>78.259999999999991</c:v>
                </c:pt>
                <c:pt idx="2">
                  <c:v>77</c:v>
                </c:pt>
                <c:pt idx="3">
                  <c:v>70.98</c:v>
                </c:pt>
                <c:pt idx="4">
                  <c:v>63.220000000000006</c:v>
                </c:pt>
                <c:pt idx="5">
                  <c:v>69.599999999999994</c:v>
                </c:pt>
                <c:pt idx="6">
                  <c:v>60.32</c:v>
                </c:pt>
                <c:pt idx="7">
                  <c:v>44.805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9F-4FF8-BE6C-9C657B3B7109}"/>
            </c:ext>
          </c:extLst>
        </c:ser>
        <c:ser>
          <c:idx val="3"/>
          <c:order val="3"/>
          <c:tx>
            <c:strRef>
              <c:f>'Cellcube 100 + BIOSTAT RM'!$N$37</c:f>
              <c:strCache>
                <c:ptCount val="1"/>
                <c:pt idx="0">
                  <c:v>Glutamato [mmol]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'Cellcube 100 + BIOSTAT RM'!$B$38:$B$46</c15:sqref>
                  </c15:fullRef>
                </c:ext>
              </c:extLst>
              <c:f>'Cellcube 100 + BIOSTAT RM'!$B$39:$B$46</c:f>
              <c:numCache>
                <c:formatCode>0.00</c:formatCode>
                <c:ptCount val="8"/>
                <c:pt idx="0">
                  <c:v>1</c:v>
                </c:pt>
                <c:pt idx="1">
                  <c:v>18.5</c:v>
                </c:pt>
                <c:pt idx="2">
                  <c:v>45</c:v>
                </c:pt>
                <c:pt idx="3">
                  <c:v>64.5</c:v>
                </c:pt>
                <c:pt idx="4">
                  <c:v>71.75</c:v>
                </c:pt>
                <c:pt idx="5">
                  <c:v>94.5</c:v>
                </c:pt>
                <c:pt idx="6">
                  <c:v>113.75</c:v>
                </c:pt>
                <c:pt idx="7">
                  <c:v>166.5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'Cellcube 100 + BIOSTAT RM'!$N$38:$N$46</c15:sqref>
                  </c15:fullRef>
                </c:ext>
              </c:extLst>
              <c:f>'Cellcube 100 + BIOSTAT RM'!$N$39:$N$46</c:f>
              <c:numCache>
                <c:formatCode>General</c:formatCode>
                <c:ptCount val="8"/>
                <c:pt idx="0">
                  <c:v>2.6320000000000001</c:v>
                </c:pt>
                <c:pt idx="1">
                  <c:v>3.4159999999999999</c:v>
                </c:pt>
                <c:pt idx="2">
                  <c:v>2.8420000000000001</c:v>
                </c:pt>
                <c:pt idx="3">
                  <c:v>3.01</c:v>
                </c:pt>
                <c:pt idx="4">
                  <c:v>7.0759999999999996</c:v>
                </c:pt>
                <c:pt idx="5">
                  <c:v>7.1775000000000002</c:v>
                </c:pt>
                <c:pt idx="6">
                  <c:v>6.032</c:v>
                </c:pt>
                <c:pt idx="7">
                  <c:v>9.9759999999999991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9F-4FF8-BE6C-9C657B3B7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3332111"/>
        <c:axId val="246870399"/>
      </c:lineChart>
      <c:lineChart>
        <c:grouping val="standard"/>
        <c:varyColors val="0"/>
        <c:ser>
          <c:idx val="4"/>
          <c:order val="4"/>
          <c:tx>
            <c:strRef>
              <c:f>'Cellcube 100 + BIOSTAT RM'!$O$37</c:f>
              <c:strCache>
                <c:ptCount val="1"/>
                <c:pt idx="0">
                  <c:v>Amonio (mg)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'Cellcube 100 + BIOSTAT RM'!$B$38:$B$46</c15:sqref>
                  </c15:fullRef>
                </c:ext>
              </c:extLst>
              <c:f>'Cellcube 100 + BIOSTAT RM'!$B$39:$B$46</c:f>
              <c:numCache>
                <c:formatCode>0.00</c:formatCode>
                <c:ptCount val="8"/>
                <c:pt idx="0">
                  <c:v>1</c:v>
                </c:pt>
                <c:pt idx="1">
                  <c:v>18.5</c:v>
                </c:pt>
                <c:pt idx="2">
                  <c:v>45</c:v>
                </c:pt>
                <c:pt idx="3">
                  <c:v>64.5</c:v>
                </c:pt>
                <c:pt idx="4">
                  <c:v>71.75</c:v>
                </c:pt>
                <c:pt idx="5">
                  <c:v>94.5</c:v>
                </c:pt>
                <c:pt idx="6">
                  <c:v>113.75</c:v>
                </c:pt>
                <c:pt idx="7">
                  <c:v>166.5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'Cellcube 100 + BIOSTAT RM'!$O$38:$O$46</c15:sqref>
                  </c15:fullRef>
                </c:ext>
              </c:extLst>
              <c:f>'Cellcube 100 + BIOSTAT RM'!$O$39:$O$46</c:f>
              <c:numCache>
                <c:formatCode>General</c:formatCode>
                <c:ptCount val="8"/>
                <c:pt idx="0">
                  <c:v>392</c:v>
                </c:pt>
                <c:pt idx="1">
                  <c:v>378</c:v>
                </c:pt>
                <c:pt idx="2">
                  <c:v>630</c:v>
                </c:pt>
                <c:pt idx="3">
                  <c:v>560</c:v>
                </c:pt>
                <c:pt idx="4">
                  <c:v>304.5</c:v>
                </c:pt>
                <c:pt idx="5">
                  <c:v>290</c:v>
                </c:pt>
                <c:pt idx="6">
                  <c:v>435</c:v>
                </c:pt>
                <c:pt idx="7">
                  <c:v>652.5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A9F-4FF8-BE6C-9C657B3B7109}"/>
            </c:ext>
          </c:extLst>
        </c:ser>
        <c:ser>
          <c:idx val="5"/>
          <c:order val="5"/>
          <c:tx>
            <c:strRef>
              <c:f>'Cellcube 100 + BIOSTAT RM'!$P$37</c:f>
              <c:strCache>
                <c:ptCount val="1"/>
                <c:pt idx="0">
                  <c:v>Potasio (mg)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'Cellcube 100 + BIOSTAT RM'!$B$38:$B$46</c15:sqref>
                  </c15:fullRef>
                </c:ext>
              </c:extLst>
              <c:f>'Cellcube 100 + BIOSTAT RM'!$B$39:$B$46</c:f>
              <c:numCache>
                <c:formatCode>0.00</c:formatCode>
                <c:ptCount val="8"/>
                <c:pt idx="0">
                  <c:v>1</c:v>
                </c:pt>
                <c:pt idx="1">
                  <c:v>18.5</c:v>
                </c:pt>
                <c:pt idx="2">
                  <c:v>45</c:v>
                </c:pt>
                <c:pt idx="3">
                  <c:v>64.5</c:v>
                </c:pt>
                <c:pt idx="4">
                  <c:v>71.75</c:v>
                </c:pt>
                <c:pt idx="5">
                  <c:v>94.5</c:v>
                </c:pt>
                <c:pt idx="6">
                  <c:v>113.75</c:v>
                </c:pt>
                <c:pt idx="7">
                  <c:v>166.5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'Cellcube 100 + BIOSTAT RM'!$P$38:$P$46</c15:sqref>
                  </c15:fullRef>
                </c:ext>
              </c:extLst>
              <c:f>'Cellcube 100 + BIOSTAT RM'!$P$39:$P$46</c:f>
              <c:numCache>
                <c:formatCode>General</c:formatCode>
                <c:ptCount val="8"/>
                <c:pt idx="0">
                  <c:v>1904</c:v>
                </c:pt>
                <c:pt idx="1">
                  <c:v>1876</c:v>
                </c:pt>
                <c:pt idx="2">
                  <c:v>1960</c:v>
                </c:pt>
                <c:pt idx="3">
                  <c:v>1960</c:v>
                </c:pt>
                <c:pt idx="4">
                  <c:v>1740</c:v>
                </c:pt>
                <c:pt idx="5">
                  <c:v>1841.5</c:v>
                </c:pt>
                <c:pt idx="6">
                  <c:v>1957.5</c:v>
                </c:pt>
                <c:pt idx="7">
                  <c:v>1827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A9F-4FF8-BE6C-9C657B3B7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3326351"/>
        <c:axId val="2093309071"/>
      </c:lineChart>
      <c:catAx>
        <c:axId val="209333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870399"/>
        <c:crosses val="autoZero"/>
        <c:auto val="1"/>
        <c:lblAlgn val="ctr"/>
        <c:lblOffset val="100"/>
        <c:noMultiLvlLbl val="0"/>
      </c:catAx>
      <c:valAx>
        <c:axId val="24687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g | mmol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93332111"/>
        <c:crosses val="autoZero"/>
        <c:crossBetween val="between"/>
      </c:valAx>
      <c:valAx>
        <c:axId val="209330907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Amonio (mg) | Potasio (mg)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93326351"/>
        <c:crosses val="max"/>
        <c:crossBetween val="between"/>
      </c:valAx>
      <c:catAx>
        <c:axId val="2093326351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20933090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b="1"/>
              <a:t>Comportamiento viral UHA durante prueba cellcube 100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0455034960798419"/>
          <c:y val="0.21404033870560188"/>
          <c:w val="0.84533359994094026"/>
          <c:h val="0.49261484734627514"/>
        </c:manualLayout>
      </c:layout>
      <c:scatterChart>
        <c:scatterStyle val="lineMarker"/>
        <c:varyColors val="0"/>
        <c:ser>
          <c:idx val="0"/>
          <c:order val="0"/>
          <c:tx>
            <c:strRef>
              <c:f>'Cellcube 100 + BIOSTAT RM'!$S$3</c:f>
              <c:strCache>
                <c:ptCount val="1"/>
                <c:pt idx="0">
                  <c:v>UHA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'Cellcube 100 + BIOSTAT RM'!$E$4:$E$21</c:f>
              <c:numCache>
                <c:formatCode>0.00</c:formatCode>
                <c:ptCount val="18"/>
                <c:pt idx="1">
                  <c:v>1</c:v>
                </c:pt>
                <c:pt idx="2">
                  <c:v>18.5</c:v>
                </c:pt>
                <c:pt idx="3">
                  <c:v>45</c:v>
                </c:pt>
                <c:pt idx="4">
                  <c:v>64.5</c:v>
                </c:pt>
                <c:pt idx="5">
                  <c:v>71.75</c:v>
                </c:pt>
                <c:pt idx="6">
                  <c:v>94.5</c:v>
                </c:pt>
                <c:pt idx="7">
                  <c:v>113.75</c:v>
                </c:pt>
                <c:pt idx="8">
                  <c:v>166.5</c:v>
                </c:pt>
                <c:pt idx="9">
                  <c:v>170.5</c:v>
                </c:pt>
                <c:pt idx="10">
                  <c:v>213.75</c:v>
                </c:pt>
                <c:pt idx="11">
                  <c:v>235.5</c:v>
                </c:pt>
                <c:pt idx="12">
                  <c:v>260.5</c:v>
                </c:pt>
                <c:pt idx="13">
                  <c:v>284</c:v>
                </c:pt>
                <c:pt idx="14">
                  <c:v>331.75</c:v>
                </c:pt>
                <c:pt idx="15">
                  <c:v>359.5</c:v>
                </c:pt>
                <c:pt idx="16">
                  <c:v>381.25</c:v>
                </c:pt>
                <c:pt idx="17">
                  <c:v>400.5</c:v>
                </c:pt>
              </c:numCache>
            </c:numRef>
          </c:xVal>
          <c:yVal>
            <c:numRef>
              <c:f>'Cellcube 100 + BIOSTAT RM'!$S$4:$S$21</c:f>
              <c:numCache>
                <c:formatCode>General</c:formatCode>
                <c:ptCount val="18"/>
                <c:pt idx="1">
                  <c:v>0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4</c:v>
                </c:pt>
                <c:pt idx="10">
                  <c:v>2</c:v>
                </c:pt>
                <c:pt idx="11">
                  <c:v>4</c:v>
                </c:pt>
                <c:pt idx="12">
                  <c:v>4</c:v>
                </c:pt>
                <c:pt idx="13">
                  <c:v>2</c:v>
                </c:pt>
                <c:pt idx="14">
                  <c:v>2</c:v>
                </c:pt>
                <c:pt idx="15">
                  <c:v>4</c:v>
                </c:pt>
                <c:pt idx="16">
                  <c:v>4</c:v>
                </c:pt>
                <c:pt idx="1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B8-4EFF-AAA3-4440347FC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673227552"/>
        <c:axId val="-673221024"/>
      </c:scatterChart>
      <c:valAx>
        <c:axId val="-673227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 de cultivo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-673221024"/>
        <c:crosses val="autoZero"/>
        <c:crossBetween val="midCat"/>
      </c:valAx>
      <c:valAx>
        <c:axId val="-67322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-673227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MX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400" b="1" i="0" u="none" strike="noStrike" kern="1200" spc="0" baseline="0">
                <a:solidFill>
                  <a:sysClr val="windowText" lastClr="000000"/>
                </a:solidFill>
              </a:rPr>
              <a:t>Comportamiento viral - Título por HA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0455034960798419"/>
          <c:y val="0.21404033870560188"/>
          <c:w val="0.84533359994094026"/>
          <c:h val="0.49261484734627514"/>
        </c:manualLayout>
      </c:layout>
      <c:scatterChart>
        <c:scatterStyle val="lineMarker"/>
        <c:varyColors val="0"/>
        <c:ser>
          <c:idx val="0"/>
          <c:order val="0"/>
          <c:tx>
            <c:strRef>
              <c:f>'Cellcube 100 + BIOSTAT RM'!$U$3</c:f>
              <c:strCache>
                <c:ptCount val="1"/>
                <c:pt idx="0">
                  <c:v>Título viral (HA)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'Cellcube 100 + BIOSTAT RM'!$E$5:$E$21</c:f>
              <c:numCache>
                <c:formatCode>0.00</c:formatCode>
                <c:ptCount val="17"/>
                <c:pt idx="0">
                  <c:v>1</c:v>
                </c:pt>
                <c:pt idx="1">
                  <c:v>18.5</c:v>
                </c:pt>
                <c:pt idx="2">
                  <c:v>45</c:v>
                </c:pt>
                <c:pt idx="3">
                  <c:v>64.5</c:v>
                </c:pt>
                <c:pt idx="4">
                  <c:v>71.75</c:v>
                </c:pt>
                <c:pt idx="5">
                  <c:v>94.5</c:v>
                </c:pt>
                <c:pt idx="6">
                  <c:v>113.75</c:v>
                </c:pt>
                <c:pt idx="7">
                  <c:v>166.5</c:v>
                </c:pt>
                <c:pt idx="8">
                  <c:v>170.5</c:v>
                </c:pt>
                <c:pt idx="9">
                  <c:v>213.75</c:v>
                </c:pt>
                <c:pt idx="10">
                  <c:v>235.5</c:v>
                </c:pt>
                <c:pt idx="11">
                  <c:v>260.5</c:v>
                </c:pt>
                <c:pt idx="12">
                  <c:v>284</c:v>
                </c:pt>
                <c:pt idx="13">
                  <c:v>331.75</c:v>
                </c:pt>
                <c:pt idx="14">
                  <c:v>359.5</c:v>
                </c:pt>
                <c:pt idx="15">
                  <c:v>381.25</c:v>
                </c:pt>
                <c:pt idx="16">
                  <c:v>400.5</c:v>
                </c:pt>
              </c:numCache>
            </c:numRef>
          </c:xVal>
          <c:yVal>
            <c:numRef>
              <c:f>'Cellcube 100 + BIOSTAT RM'!$U$5:$U$21</c:f>
              <c:numCache>
                <c:formatCode>General</c:formatCode>
                <c:ptCount val="17"/>
                <c:pt idx="0">
                  <c:v>0</c:v>
                </c:pt>
                <c:pt idx="1">
                  <c:v>1.66</c:v>
                </c:pt>
                <c:pt idx="2">
                  <c:v>6.66</c:v>
                </c:pt>
                <c:pt idx="3">
                  <c:v>6.5</c:v>
                </c:pt>
                <c:pt idx="4">
                  <c:v>5</c:v>
                </c:pt>
                <c:pt idx="5">
                  <c:v>6.7</c:v>
                </c:pt>
                <c:pt idx="6">
                  <c:v>6.5</c:v>
                </c:pt>
                <c:pt idx="7">
                  <c:v>6.89</c:v>
                </c:pt>
                <c:pt idx="8">
                  <c:v>3.66</c:v>
                </c:pt>
                <c:pt idx="9">
                  <c:v>6.89</c:v>
                </c:pt>
                <c:pt idx="10">
                  <c:v>7.32</c:v>
                </c:pt>
                <c:pt idx="11">
                  <c:v>6.74</c:v>
                </c:pt>
                <c:pt idx="12">
                  <c:v>6.38</c:v>
                </c:pt>
                <c:pt idx="13">
                  <c:v>6.66</c:v>
                </c:pt>
                <c:pt idx="14">
                  <c:v>3.79</c:v>
                </c:pt>
                <c:pt idx="15">
                  <c:v>6.58</c:v>
                </c:pt>
                <c:pt idx="16">
                  <c:v>6.58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22-401A-A2C9-50578F7DF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673227552"/>
        <c:axId val="-673221024"/>
      </c:scatterChart>
      <c:valAx>
        <c:axId val="-673227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 de cultivo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-673221024"/>
        <c:crosses val="autoZero"/>
        <c:crossBetween val="midCat"/>
      </c:valAx>
      <c:valAx>
        <c:axId val="-67322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-673227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MX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b="1"/>
              <a:t>Comportamiento viral - Título por EFC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0455034960798419"/>
          <c:y val="0.21404033870560188"/>
          <c:w val="0.84533359994094026"/>
          <c:h val="0.49261484734627514"/>
        </c:manualLayout>
      </c:layout>
      <c:scatterChart>
        <c:scatterStyle val="lineMarker"/>
        <c:varyColors val="0"/>
        <c:ser>
          <c:idx val="0"/>
          <c:order val="0"/>
          <c:tx>
            <c:strRef>
              <c:f>'Cellcube 100 + BIOSTAT RM'!$T$3</c:f>
              <c:strCache>
                <c:ptCount val="1"/>
                <c:pt idx="0">
                  <c:v>Título viral (EFC)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'Cellcube 100 + BIOSTAT RM'!$E$5:$E$21</c:f>
              <c:numCache>
                <c:formatCode>0.00</c:formatCode>
                <c:ptCount val="17"/>
                <c:pt idx="0">
                  <c:v>1</c:v>
                </c:pt>
                <c:pt idx="1">
                  <c:v>18.5</c:v>
                </c:pt>
                <c:pt idx="2">
                  <c:v>45</c:v>
                </c:pt>
                <c:pt idx="3">
                  <c:v>64.5</c:v>
                </c:pt>
                <c:pt idx="4">
                  <c:v>71.75</c:v>
                </c:pt>
                <c:pt idx="5">
                  <c:v>94.5</c:v>
                </c:pt>
                <c:pt idx="6">
                  <c:v>113.75</c:v>
                </c:pt>
                <c:pt idx="7">
                  <c:v>166.5</c:v>
                </c:pt>
                <c:pt idx="8">
                  <c:v>170.5</c:v>
                </c:pt>
                <c:pt idx="9">
                  <c:v>213.75</c:v>
                </c:pt>
                <c:pt idx="10">
                  <c:v>235.5</c:v>
                </c:pt>
                <c:pt idx="11">
                  <c:v>260.5</c:v>
                </c:pt>
                <c:pt idx="12">
                  <c:v>284</c:v>
                </c:pt>
                <c:pt idx="13">
                  <c:v>331.75</c:v>
                </c:pt>
                <c:pt idx="14">
                  <c:v>359.5</c:v>
                </c:pt>
                <c:pt idx="15">
                  <c:v>381.25</c:v>
                </c:pt>
                <c:pt idx="16">
                  <c:v>400.5</c:v>
                </c:pt>
              </c:numCache>
            </c:numRef>
          </c:xVal>
          <c:yVal>
            <c:numRef>
              <c:f>'Cellcube 100 + BIOSTAT RM'!$T$5:$T$21</c:f>
              <c:numCache>
                <c:formatCode>General</c:formatCode>
                <c:ptCount val="17"/>
                <c:pt idx="0">
                  <c:v>0</c:v>
                </c:pt>
                <c:pt idx="1">
                  <c:v>1.66</c:v>
                </c:pt>
                <c:pt idx="2">
                  <c:v>6.56</c:v>
                </c:pt>
                <c:pt idx="3">
                  <c:v>6.5</c:v>
                </c:pt>
                <c:pt idx="4">
                  <c:v>5.74</c:v>
                </c:pt>
                <c:pt idx="5">
                  <c:v>5.79</c:v>
                </c:pt>
                <c:pt idx="6">
                  <c:v>5.0999999999999996</c:v>
                </c:pt>
                <c:pt idx="7">
                  <c:v>6.79</c:v>
                </c:pt>
                <c:pt idx="8">
                  <c:v>3.66</c:v>
                </c:pt>
                <c:pt idx="9">
                  <c:v>5.49</c:v>
                </c:pt>
                <c:pt idx="10">
                  <c:v>6.66</c:v>
                </c:pt>
                <c:pt idx="11">
                  <c:v>5.66</c:v>
                </c:pt>
                <c:pt idx="12">
                  <c:v>6.79</c:v>
                </c:pt>
                <c:pt idx="13">
                  <c:v>6.66</c:v>
                </c:pt>
                <c:pt idx="14">
                  <c:v>3.5</c:v>
                </c:pt>
                <c:pt idx="15">
                  <c:v>4</c:v>
                </c:pt>
                <c:pt idx="16">
                  <c:v>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F9-4808-B2DF-338FF0B2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673227552"/>
        <c:axId val="-673221024"/>
      </c:scatterChart>
      <c:valAx>
        <c:axId val="-673227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 de cultivo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-673221024"/>
        <c:crosses val="autoZero"/>
        <c:crossBetween val="midCat"/>
      </c:valAx>
      <c:valAx>
        <c:axId val="-67322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-673227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MX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b="1"/>
              <a:t>Carga viral durante prueba Cellcube</a:t>
            </a:r>
            <a:r>
              <a:rPr lang="es-MX" b="1" baseline="0"/>
              <a:t> 100</a:t>
            </a:r>
            <a:endParaRPr lang="es-MX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0455034960798419"/>
          <c:y val="0.21404033870560188"/>
          <c:w val="0.84533359994094026"/>
          <c:h val="0.49261484734627514"/>
        </c:manualLayout>
      </c:layout>
      <c:scatterChart>
        <c:scatterStyle val="lineMarker"/>
        <c:varyColors val="0"/>
        <c:ser>
          <c:idx val="0"/>
          <c:order val="0"/>
          <c:tx>
            <c:strRef>
              <c:f>'Cellcube 100 + BIOSTAT RM'!$V$3</c:f>
              <c:strCache>
                <c:ptCount val="1"/>
                <c:pt idx="0">
                  <c:v>Carga viral (pv/mL)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'Cellcube 100 + BIOSTAT RM'!$E$5:$E$21</c:f>
              <c:numCache>
                <c:formatCode>0.00</c:formatCode>
                <c:ptCount val="17"/>
                <c:pt idx="0">
                  <c:v>1</c:v>
                </c:pt>
                <c:pt idx="1">
                  <c:v>18.5</c:v>
                </c:pt>
                <c:pt idx="2">
                  <c:v>45</c:v>
                </c:pt>
                <c:pt idx="3">
                  <c:v>64.5</c:v>
                </c:pt>
                <c:pt idx="4">
                  <c:v>71.75</c:v>
                </c:pt>
                <c:pt idx="5">
                  <c:v>94.5</c:v>
                </c:pt>
                <c:pt idx="6">
                  <c:v>113.75</c:v>
                </c:pt>
                <c:pt idx="7">
                  <c:v>166.5</c:v>
                </c:pt>
                <c:pt idx="8">
                  <c:v>170.5</c:v>
                </c:pt>
                <c:pt idx="9">
                  <c:v>213.75</c:v>
                </c:pt>
                <c:pt idx="10">
                  <c:v>235.5</c:v>
                </c:pt>
                <c:pt idx="11">
                  <c:v>260.5</c:v>
                </c:pt>
                <c:pt idx="12">
                  <c:v>284</c:v>
                </c:pt>
                <c:pt idx="13">
                  <c:v>331.75</c:v>
                </c:pt>
                <c:pt idx="14">
                  <c:v>359.5</c:v>
                </c:pt>
                <c:pt idx="15">
                  <c:v>381.25</c:v>
                </c:pt>
                <c:pt idx="16">
                  <c:v>400.5</c:v>
                </c:pt>
              </c:numCache>
            </c:numRef>
          </c:xVal>
          <c:yVal>
            <c:numRef>
              <c:f>'Cellcube 100 + BIOSTAT RM'!$V$5:$V$21</c:f>
              <c:numCache>
                <c:formatCode>0.00E+00</c:formatCode>
                <c:ptCount val="17"/>
                <c:pt idx="0">
                  <c:v>9560000</c:v>
                </c:pt>
                <c:pt idx="1">
                  <c:v>207000000</c:v>
                </c:pt>
                <c:pt idx="2">
                  <c:v>3300000000</c:v>
                </c:pt>
                <c:pt idx="3">
                  <c:v>4580000000</c:v>
                </c:pt>
                <c:pt idx="5">
                  <c:v>6340000000</c:v>
                </c:pt>
                <c:pt idx="6">
                  <c:v>5750000000</c:v>
                </c:pt>
                <c:pt idx="7">
                  <c:v>5810000000</c:v>
                </c:pt>
                <c:pt idx="9">
                  <c:v>4510000000</c:v>
                </c:pt>
                <c:pt idx="10">
                  <c:v>6180000000</c:v>
                </c:pt>
                <c:pt idx="11">
                  <c:v>4110000000</c:v>
                </c:pt>
                <c:pt idx="12">
                  <c:v>5270000000</c:v>
                </c:pt>
                <c:pt idx="13">
                  <c:v>6680000000</c:v>
                </c:pt>
                <c:pt idx="14">
                  <c:v>3910000000</c:v>
                </c:pt>
                <c:pt idx="15">
                  <c:v>4950000000</c:v>
                </c:pt>
                <c:pt idx="16">
                  <c:v>6280000000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C6-4FC8-9813-4E8BFEA7C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673227552"/>
        <c:axId val="-673221024"/>
      </c:scatterChart>
      <c:valAx>
        <c:axId val="-673227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 de cultivo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-673221024"/>
        <c:crosses val="autoZero"/>
        <c:crossBetween val="midCat"/>
      </c:valAx>
      <c:valAx>
        <c:axId val="-67322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-673227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MX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b="1"/>
              <a:t>Comportamiento viral en Cellcube 100</a:t>
            </a:r>
          </a:p>
        </c:rich>
      </c:tx>
      <c:layout>
        <c:manualLayout>
          <c:xMode val="edge"/>
          <c:yMode val="edge"/>
          <c:x val="0.29870720090594194"/>
          <c:y val="3.52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8.1234345856648002E-2"/>
          <c:y val="0.16355659722222221"/>
          <c:w val="0.81301691979749535"/>
          <c:h val="0.6063856964013768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'Cellcube 100 + BIOSTAT RM'!$T$3</c:f>
              <c:strCache>
                <c:ptCount val="1"/>
                <c:pt idx="0">
                  <c:v>Título viral (EFC)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'Cellcube 100 + BIOSTAT RM'!$E$5:$E$21</c:f>
              <c:numCache>
                <c:formatCode>0.00</c:formatCode>
                <c:ptCount val="17"/>
                <c:pt idx="0">
                  <c:v>1</c:v>
                </c:pt>
                <c:pt idx="1">
                  <c:v>18.5</c:v>
                </c:pt>
                <c:pt idx="2">
                  <c:v>45</c:v>
                </c:pt>
                <c:pt idx="3">
                  <c:v>64.5</c:v>
                </c:pt>
                <c:pt idx="4">
                  <c:v>71.75</c:v>
                </c:pt>
                <c:pt idx="5">
                  <c:v>94.5</c:v>
                </c:pt>
                <c:pt idx="6">
                  <c:v>113.75</c:v>
                </c:pt>
                <c:pt idx="7">
                  <c:v>166.5</c:v>
                </c:pt>
                <c:pt idx="8">
                  <c:v>170.5</c:v>
                </c:pt>
                <c:pt idx="9">
                  <c:v>213.75</c:v>
                </c:pt>
                <c:pt idx="10">
                  <c:v>235.5</c:v>
                </c:pt>
                <c:pt idx="11">
                  <c:v>260.5</c:v>
                </c:pt>
                <c:pt idx="12">
                  <c:v>284</c:v>
                </c:pt>
                <c:pt idx="13">
                  <c:v>331.75</c:v>
                </c:pt>
                <c:pt idx="14">
                  <c:v>359.5</c:v>
                </c:pt>
                <c:pt idx="15">
                  <c:v>381.25</c:v>
                </c:pt>
                <c:pt idx="16">
                  <c:v>400.5</c:v>
                </c:pt>
              </c:numCache>
            </c:numRef>
          </c:cat>
          <c:val>
            <c:numRef>
              <c:f>'Cellcube 100 + BIOSTAT RM'!$T$5:$T$21</c:f>
              <c:numCache>
                <c:formatCode>General</c:formatCode>
                <c:ptCount val="17"/>
                <c:pt idx="0">
                  <c:v>0</c:v>
                </c:pt>
                <c:pt idx="1">
                  <c:v>1.66</c:v>
                </c:pt>
                <c:pt idx="2">
                  <c:v>6.56</c:v>
                </c:pt>
                <c:pt idx="3">
                  <c:v>6.5</c:v>
                </c:pt>
                <c:pt idx="4">
                  <c:v>5.74</c:v>
                </c:pt>
                <c:pt idx="5">
                  <c:v>5.79</c:v>
                </c:pt>
                <c:pt idx="6">
                  <c:v>5.0999999999999996</c:v>
                </c:pt>
                <c:pt idx="7">
                  <c:v>6.79</c:v>
                </c:pt>
                <c:pt idx="8">
                  <c:v>3.66</c:v>
                </c:pt>
                <c:pt idx="9">
                  <c:v>5.49</c:v>
                </c:pt>
                <c:pt idx="10">
                  <c:v>6.66</c:v>
                </c:pt>
                <c:pt idx="11">
                  <c:v>5.66</c:v>
                </c:pt>
                <c:pt idx="12">
                  <c:v>6.79</c:v>
                </c:pt>
                <c:pt idx="13">
                  <c:v>6.66</c:v>
                </c:pt>
                <c:pt idx="14">
                  <c:v>3.5</c:v>
                </c:pt>
                <c:pt idx="15">
                  <c:v>4</c:v>
                </c:pt>
                <c:pt idx="16">
                  <c:v>6.56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3F-4A66-97DC-9812E3A51BB3}"/>
            </c:ext>
          </c:extLst>
        </c:ser>
        <c:ser>
          <c:idx val="2"/>
          <c:order val="1"/>
          <c:tx>
            <c:strRef>
              <c:f>'Cellcube 100 + BIOSTAT RM'!$U$3</c:f>
              <c:strCache>
                <c:ptCount val="1"/>
                <c:pt idx="0">
                  <c:v>Título viral (HA)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'Cellcube 100 + BIOSTAT RM'!$E$5:$E$21</c:f>
              <c:numCache>
                <c:formatCode>0.00</c:formatCode>
                <c:ptCount val="17"/>
                <c:pt idx="0">
                  <c:v>1</c:v>
                </c:pt>
                <c:pt idx="1">
                  <c:v>18.5</c:v>
                </c:pt>
                <c:pt idx="2">
                  <c:v>45</c:v>
                </c:pt>
                <c:pt idx="3">
                  <c:v>64.5</c:v>
                </c:pt>
                <c:pt idx="4">
                  <c:v>71.75</c:v>
                </c:pt>
                <c:pt idx="5">
                  <c:v>94.5</c:v>
                </c:pt>
                <c:pt idx="6">
                  <c:v>113.75</c:v>
                </c:pt>
                <c:pt idx="7">
                  <c:v>166.5</c:v>
                </c:pt>
                <c:pt idx="8">
                  <c:v>170.5</c:v>
                </c:pt>
                <c:pt idx="9">
                  <c:v>213.75</c:v>
                </c:pt>
                <c:pt idx="10">
                  <c:v>235.5</c:v>
                </c:pt>
                <c:pt idx="11">
                  <c:v>260.5</c:v>
                </c:pt>
                <c:pt idx="12">
                  <c:v>284</c:v>
                </c:pt>
                <c:pt idx="13">
                  <c:v>331.75</c:v>
                </c:pt>
                <c:pt idx="14">
                  <c:v>359.5</c:v>
                </c:pt>
                <c:pt idx="15">
                  <c:v>381.25</c:v>
                </c:pt>
                <c:pt idx="16">
                  <c:v>400.5</c:v>
                </c:pt>
              </c:numCache>
            </c:numRef>
          </c:cat>
          <c:val>
            <c:numRef>
              <c:f>'Cellcube 100 + BIOSTAT RM'!$U$5:$U$21</c:f>
              <c:numCache>
                <c:formatCode>General</c:formatCode>
                <c:ptCount val="17"/>
                <c:pt idx="0">
                  <c:v>0</c:v>
                </c:pt>
                <c:pt idx="1">
                  <c:v>1.66</c:v>
                </c:pt>
                <c:pt idx="2">
                  <c:v>6.66</c:v>
                </c:pt>
                <c:pt idx="3">
                  <c:v>6.5</c:v>
                </c:pt>
                <c:pt idx="4">
                  <c:v>5</c:v>
                </c:pt>
                <c:pt idx="5">
                  <c:v>6.7</c:v>
                </c:pt>
                <c:pt idx="6">
                  <c:v>6.5</c:v>
                </c:pt>
                <c:pt idx="7">
                  <c:v>6.89</c:v>
                </c:pt>
                <c:pt idx="8">
                  <c:v>3.66</c:v>
                </c:pt>
                <c:pt idx="9">
                  <c:v>6.89</c:v>
                </c:pt>
                <c:pt idx="10">
                  <c:v>7.32</c:v>
                </c:pt>
                <c:pt idx="11">
                  <c:v>6.74</c:v>
                </c:pt>
                <c:pt idx="12">
                  <c:v>6.38</c:v>
                </c:pt>
                <c:pt idx="13">
                  <c:v>6.66</c:v>
                </c:pt>
                <c:pt idx="14">
                  <c:v>3.79</c:v>
                </c:pt>
                <c:pt idx="15">
                  <c:v>6.58</c:v>
                </c:pt>
                <c:pt idx="16">
                  <c:v>6.58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3F-4A66-97DC-9812E3A51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33903488"/>
        <c:axId val="1133906368"/>
      </c:barChart>
      <c:barChart>
        <c:barDir val="col"/>
        <c:grouping val="clustered"/>
        <c:varyColors val="0"/>
        <c:ser>
          <c:idx val="0"/>
          <c:order val="2"/>
          <c:tx>
            <c:strRef>
              <c:f>'Cellcube 100 + BIOSTAT RM'!$V$3:$V$4</c:f>
              <c:strCache>
                <c:ptCount val="2"/>
                <c:pt idx="0">
                  <c:v>Carga viral (pv/mL)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'Cellcube 100 + BIOSTAT RM'!$V$5:$V$21</c:f>
              <c:numCache>
                <c:formatCode>0.00E+00</c:formatCode>
                <c:ptCount val="17"/>
                <c:pt idx="0">
                  <c:v>9560000</c:v>
                </c:pt>
                <c:pt idx="1">
                  <c:v>207000000</c:v>
                </c:pt>
                <c:pt idx="2">
                  <c:v>3300000000</c:v>
                </c:pt>
                <c:pt idx="3">
                  <c:v>4580000000</c:v>
                </c:pt>
                <c:pt idx="5">
                  <c:v>6340000000</c:v>
                </c:pt>
                <c:pt idx="6">
                  <c:v>5750000000</c:v>
                </c:pt>
                <c:pt idx="7">
                  <c:v>5810000000</c:v>
                </c:pt>
                <c:pt idx="9">
                  <c:v>4510000000</c:v>
                </c:pt>
                <c:pt idx="10">
                  <c:v>6180000000</c:v>
                </c:pt>
                <c:pt idx="11">
                  <c:v>4110000000</c:v>
                </c:pt>
                <c:pt idx="12">
                  <c:v>5270000000</c:v>
                </c:pt>
                <c:pt idx="13">
                  <c:v>6680000000</c:v>
                </c:pt>
                <c:pt idx="14">
                  <c:v>3910000000</c:v>
                </c:pt>
                <c:pt idx="15">
                  <c:v>4950000000</c:v>
                </c:pt>
                <c:pt idx="16">
                  <c:v>6280000000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53F-4A66-97DC-9812E3A51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82682576"/>
        <c:axId val="1282682096"/>
      </c:barChart>
      <c:scatterChart>
        <c:scatterStyle val="smoothMarker"/>
        <c:varyColors val="0"/>
        <c:ser>
          <c:idx val="3"/>
          <c:order val="3"/>
          <c:tx>
            <c:strRef>
              <c:f>'Cellcube 100 + BIOSTAT RM'!$V$3:$V$4</c:f>
              <c:strCache>
                <c:ptCount val="2"/>
                <c:pt idx="0">
                  <c:v>Carga viral (pv/mL)</c:v>
                </c:pt>
              </c:strCache>
            </c:strRef>
          </c:tx>
          <c:spPr>
            <a:ln w="63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4"/>
              </a:solidFill>
              <a:ln w="6350">
                <a:solidFill>
                  <a:schemeClr val="accent4"/>
                </a:solidFill>
              </a:ln>
              <a:effectLst/>
            </c:spPr>
          </c:marker>
          <c:yVal>
            <c:numRef>
              <c:f>'Cellcube 100 + BIOSTAT RM'!$V$5:$V$21</c:f>
              <c:numCache>
                <c:formatCode>0.00E+00</c:formatCode>
                <c:ptCount val="17"/>
                <c:pt idx="0">
                  <c:v>9560000</c:v>
                </c:pt>
                <c:pt idx="1">
                  <c:v>207000000</c:v>
                </c:pt>
                <c:pt idx="2">
                  <c:v>3300000000</c:v>
                </c:pt>
                <c:pt idx="3">
                  <c:v>4580000000</c:v>
                </c:pt>
                <c:pt idx="5">
                  <c:v>6340000000</c:v>
                </c:pt>
                <c:pt idx="6">
                  <c:v>5750000000</c:v>
                </c:pt>
                <c:pt idx="7">
                  <c:v>5810000000</c:v>
                </c:pt>
                <c:pt idx="9">
                  <c:v>4510000000</c:v>
                </c:pt>
                <c:pt idx="10">
                  <c:v>6180000000</c:v>
                </c:pt>
                <c:pt idx="11">
                  <c:v>4110000000</c:v>
                </c:pt>
                <c:pt idx="12">
                  <c:v>5270000000</c:v>
                </c:pt>
                <c:pt idx="13">
                  <c:v>6680000000</c:v>
                </c:pt>
                <c:pt idx="14">
                  <c:v>3910000000</c:v>
                </c:pt>
                <c:pt idx="15">
                  <c:v>4950000000</c:v>
                </c:pt>
                <c:pt idx="16">
                  <c:v>6280000000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B5-4648-81C9-324A88E2E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682576"/>
        <c:axId val="1282682096"/>
      </c:scatterChart>
      <c:catAx>
        <c:axId val="1133903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 de cultivo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33906368"/>
        <c:crosses val="autoZero"/>
        <c:auto val="1"/>
        <c:lblAlgn val="ctr"/>
        <c:lblOffset val="100"/>
        <c:noMultiLvlLbl val="0"/>
      </c:catAx>
      <c:valAx>
        <c:axId val="113390636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Log10 DICC50% </a:t>
                </a:r>
              </a:p>
            </c:rich>
          </c:tx>
          <c:layout>
            <c:manualLayout>
              <c:xMode val="edge"/>
              <c:yMode val="edge"/>
              <c:x val="2.0333017152175899E-2"/>
              <c:y val="0.305878724836666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33903488"/>
        <c:crosses val="max"/>
        <c:crossBetween val="between"/>
      </c:valAx>
      <c:valAx>
        <c:axId val="1282682096"/>
        <c:scaling>
          <c:orientation val="minMax"/>
          <c:max val="1000000000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Carga viral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.E+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82682576"/>
        <c:crosses val="max"/>
        <c:crossBetween val="between"/>
      </c:valAx>
      <c:catAx>
        <c:axId val="1282682576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2826820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ayout>
        <c:manualLayout>
          <c:xMode val="edge"/>
          <c:yMode val="edge"/>
          <c:x val="0.2119178270748161"/>
          <c:y val="0.92558548017631093"/>
          <c:w val="0.54632442317189012"/>
          <c:h val="7.4414519823689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MX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b="1"/>
              <a:t>Comportamiento concentración de L-glutamina y Amonio</a:t>
            </a:r>
            <a:r>
              <a:rPr lang="es-MX" b="1" baseline="0"/>
              <a:t> </a:t>
            </a:r>
            <a:endParaRPr lang="es-MX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8.589794830802025E-2"/>
          <c:y val="0.23148098557507443"/>
          <c:w val="0.85099120703437237"/>
          <c:h val="0.4751742004768025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'Cellcube 100 + BIOSTAT RM'!$J$3</c:f>
              <c:strCache>
                <c:ptCount val="1"/>
                <c:pt idx="0">
                  <c:v>Glutamina [mM]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'Cellcube 100 + BIOSTAT RM'!$E$5:$E$21</c:f>
              <c:numCache>
                <c:formatCode>0.00</c:formatCode>
                <c:ptCount val="17"/>
                <c:pt idx="0">
                  <c:v>1</c:v>
                </c:pt>
                <c:pt idx="1">
                  <c:v>18.5</c:v>
                </c:pt>
                <c:pt idx="2">
                  <c:v>45</c:v>
                </c:pt>
                <c:pt idx="3">
                  <c:v>64.5</c:v>
                </c:pt>
                <c:pt idx="4">
                  <c:v>71.75</c:v>
                </c:pt>
                <c:pt idx="5">
                  <c:v>94.5</c:v>
                </c:pt>
                <c:pt idx="6">
                  <c:v>113.75</c:v>
                </c:pt>
                <c:pt idx="7">
                  <c:v>166.5</c:v>
                </c:pt>
                <c:pt idx="8">
                  <c:v>170.5</c:v>
                </c:pt>
                <c:pt idx="9">
                  <c:v>213.75</c:v>
                </c:pt>
                <c:pt idx="10">
                  <c:v>235.5</c:v>
                </c:pt>
                <c:pt idx="11">
                  <c:v>260.5</c:v>
                </c:pt>
                <c:pt idx="12">
                  <c:v>284</c:v>
                </c:pt>
                <c:pt idx="13">
                  <c:v>331.75</c:v>
                </c:pt>
                <c:pt idx="14">
                  <c:v>359.5</c:v>
                </c:pt>
                <c:pt idx="15">
                  <c:v>381.25</c:v>
                </c:pt>
                <c:pt idx="16">
                  <c:v>400.5</c:v>
                </c:pt>
              </c:numCache>
            </c:numRef>
          </c:xVal>
          <c:yVal>
            <c:numRef>
              <c:f>'Cellcube 100 + BIOSTAT RM'!$J$5:$J$21</c:f>
              <c:numCache>
                <c:formatCode>General</c:formatCode>
                <c:ptCount val="17"/>
                <c:pt idx="0">
                  <c:v>5.98</c:v>
                </c:pt>
                <c:pt idx="1">
                  <c:v>5.59</c:v>
                </c:pt>
                <c:pt idx="2">
                  <c:v>5.5</c:v>
                </c:pt>
                <c:pt idx="3">
                  <c:v>5.07</c:v>
                </c:pt>
                <c:pt idx="4">
                  <c:v>4.3600000000000003</c:v>
                </c:pt>
                <c:pt idx="5">
                  <c:v>4.8</c:v>
                </c:pt>
                <c:pt idx="6">
                  <c:v>4.16</c:v>
                </c:pt>
                <c:pt idx="7">
                  <c:v>3.09</c:v>
                </c:pt>
                <c:pt idx="8">
                  <c:v>3.28</c:v>
                </c:pt>
                <c:pt idx="9">
                  <c:v>2.42</c:v>
                </c:pt>
                <c:pt idx="10">
                  <c:v>1.79</c:v>
                </c:pt>
                <c:pt idx="11">
                  <c:v>3.65</c:v>
                </c:pt>
                <c:pt idx="12">
                  <c:v>2.91</c:v>
                </c:pt>
                <c:pt idx="13">
                  <c:v>2.04</c:v>
                </c:pt>
                <c:pt idx="14">
                  <c:v>3.8</c:v>
                </c:pt>
                <c:pt idx="15">
                  <c:v>2.78</c:v>
                </c:pt>
                <c:pt idx="16">
                  <c:v>2.68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6D-4255-B707-8134BAD10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673228640"/>
        <c:axId val="-673221568"/>
      </c:scatterChart>
      <c:scatterChart>
        <c:scatterStyle val="smoothMarker"/>
        <c:varyColors val="0"/>
        <c:ser>
          <c:idx val="1"/>
          <c:order val="1"/>
          <c:tx>
            <c:strRef>
              <c:f>'Cellcube 100 + BIOSTAT RM'!$L$3:$L$4</c:f>
              <c:strCache>
                <c:ptCount val="2"/>
                <c:pt idx="0">
                  <c:v>Amonio [mg/L]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'Cellcube 100 + BIOSTAT RM'!$E$5:$E$21</c:f>
              <c:numCache>
                <c:formatCode>0.00</c:formatCode>
                <c:ptCount val="17"/>
                <c:pt idx="0">
                  <c:v>1</c:v>
                </c:pt>
                <c:pt idx="1">
                  <c:v>18.5</c:v>
                </c:pt>
                <c:pt idx="2">
                  <c:v>45</c:v>
                </c:pt>
                <c:pt idx="3">
                  <c:v>64.5</c:v>
                </c:pt>
                <c:pt idx="4">
                  <c:v>71.75</c:v>
                </c:pt>
                <c:pt idx="5">
                  <c:v>94.5</c:v>
                </c:pt>
                <c:pt idx="6">
                  <c:v>113.75</c:v>
                </c:pt>
                <c:pt idx="7">
                  <c:v>166.5</c:v>
                </c:pt>
                <c:pt idx="8">
                  <c:v>170.5</c:v>
                </c:pt>
                <c:pt idx="9">
                  <c:v>213.75</c:v>
                </c:pt>
                <c:pt idx="10">
                  <c:v>235.5</c:v>
                </c:pt>
                <c:pt idx="11">
                  <c:v>260.5</c:v>
                </c:pt>
                <c:pt idx="12">
                  <c:v>284</c:v>
                </c:pt>
                <c:pt idx="13">
                  <c:v>331.75</c:v>
                </c:pt>
                <c:pt idx="14">
                  <c:v>359.5</c:v>
                </c:pt>
                <c:pt idx="15">
                  <c:v>381.25</c:v>
                </c:pt>
                <c:pt idx="16">
                  <c:v>400.5</c:v>
                </c:pt>
              </c:numCache>
            </c:numRef>
          </c:xVal>
          <c:yVal>
            <c:numRef>
              <c:f>'Cellcube 100 + BIOSTAT RM'!$L$5:$L$21</c:f>
              <c:numCache>
                <c:formatCode>0</c:formatCode>
                <c:ptCount val="17"/>
                <c:pt idx="0">
                  <c:v>28</c:v>
                </c:pt>
                <c:pt idx="1">
                  <c:v>27</c:v>
                </c:pt>
                <c:pt idx="2">
                  <c:v>45</c:v>
                </c:pt>
                <c:pt idx="3">
                  <c:v>40</c:v>
                </c:pt>
                <c:pt idx="4">
                  <c:v>21</c:v>
                </c:pt>
                <c:pt idx="5">
                  <c:v>20</c:v>
                </c:pt>
                <c:pt idx="6">
                  <c:v>30</c:v>
                </c:pt>
                <c:pt idx="7">
                  <c:v>45</c:v>
                </c:pt>
                <c:pt idx="8">
                  <c:v>11</c:v>
                </c:pt>
                <c:pt idx="9">
                  <c:v>46</c:v>
                </c:pt>
                <c:pt idx="10">
                  <c:v>50</c:v>
                </c:pt>
                <c:pt idx="11">
                  <c:v>33</c:v>
                </c:pt>
                <c:pt idx="12">
                  <c:v>39</c:v>
                </c:pt>
                <c:pt idx="13">
                  <c:v>49</c:v>
                </c:pt>
                <c:pt idx="14">
                  <c:v>28</c:v>
                </c:pt>
                <c:pt idx="15">
                  <c:v>40</c:v>
                </c:pt>
                <c:pt idx="16">
                  <c:v>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B6D-4255-B707-8134BAD10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6783919"/>
        <c:axId val="1241396415"/>
      </c:scatterChart>
      <c:valAx>
        <c:axId val="-673228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 de cultivo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-673221568"/>
        <c:crosses val="autoZero"/>
        <c:crossBetween val="midCat"/>
      </c:valAx>
      <c:valAx>
        <c:axId val="-67322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-673228640"/>
        <c:crosses val="autoZero"/>
        <c:crossBetween val="midCat"/>
      </c:valAx>
      <c:valAx>
        <c:axId val="1241396415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6783919"/>
        <c:crosses val="max"/>
        <c:crossBetween val="midCat"/>
      </c:valAx>
      <c:valAx>
        <c:axId val="1236783919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241396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MX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524820</xdr:colOff>
      <xdr:row>21</xdr:row>
      <xdr:rowOff>109005</xdr:rowOff>
    </xdr:from>
    <xdr:to>
      <xdr:col>14</xdr:col>
      <xdr:colOff>697283</xdr:colOff>
      <xdr:row>36</xdr:row>
      <xdr:rowOff>95219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9091BCF-0F39-4C88-A1F7-52B871475A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42329</xdr:colOff>
      <xdr:row>21</xdr:row>
      <xdr:rowOff>93379</xdr:rowOff>
    </xdr:from>
    <xdr:to>
      <xdr:col>7</xdr:col>
      <xdr:colOff>482653</xdr:colOff>
      <xdr:row>36</xdr:row>
      <xdr:rowOff>79593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297A6AA-E230-45C0-A175-771EFB89A1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5188</xdr:colOff>
      <xdr:row>21</xdr:row>
      <xdr:rowOff>118078</xdr:rowOff>
    </xdr:from>
    <xdr:to>
      <xdr:col>22</xdr:col>
      <xdr:colOff>55439</xdr:colOff>
      <xdr:row>36</xdr:row>
      <xdr:rowOff>104292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491C742-ADA6-4978-8996-81D50475EE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604486</xdr:colOff>
      <xdr:row>30</xdr:row>
      <xdr:rowOff>0</xdr:rowOff>
    </xdr:from>
    <xdr:to>
      <xdr:col>32</xdr:col>
      <xdr:colOff>261834</xdr:colOff>
      <xdr:row>30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A080673-CD48-44FB-8BB6-C95FAB2D00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754790</xdr:colOff>
      <xdr:row>46</xdr:row>
      <xdr:rowOff>172440</xdr:rowOff>
    </xdr:from>
    <xdr:to>
      <xdr:col>20</xdr:col>
      <xdr:colOff>777281</xdr:colOff>
      <xdr:row>62</xdr:row>
      <xdr:rowOff>131440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7623946-E148-4B12-85AE-183864ED2C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396089</xdr:colOff>
      <xdr:row>24</xdr:row>
      <xdr:rowOff>106881</xdr:rowOff>
    </xdr:from>
    <xdr:to>
      <xdr:col>2</xdr:col>
      <xdr:colOff>396089</xdr:colOff>
      <xdr:row>31</xdr:row>
      <xdr:rowOff>163286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50524F92-3240-DD69-113E-B5821CBDB9E9}"/>
            </a:ext>
          </a:extLst>
        </xdr:cNvPr>
        <xdr:cNvCxnSpPr/>
      </xdr:nvCxnSpPr>
      <xdr:spPr>
        <a:xfrm>
          <a:off x="1907665" y="4917696"/>
          <a:ext cx="0" cy="1443742"/>
        </a:xfrm>
        <a:prstGeom prst="line">
          <a:avLst/>
        </a:prstGeom>
        <a:ln w="12700"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851632</xdr:colOff>
      <xdr:row>24</xdr:row>
      <xdr:rowOff>106881</xdr:rowOff>
    </xdr:from>
    <xdr:to>
      <xdr:col>3</xdr:col>
      <xdr:colOff>851632</xdr:colOff>
      <xdr:row>31</xdr:row>
      <xdr:rowOff>163286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D7CC570E-7700-111A-3387-C3E3493B4310}"/>
            </a:ext>
          </a:extLst>
        </xdr:cNvPr>
        <xdr:cNvCxnSpPr/>
      </xdr:nvCxnSpPr>
      <xdr:spPr>
        <a:xfrm>
          <a:off x="3039621" y="4917696"/>
          <a:ext cx="0" cy="1443742"/>
        </a:xfrm>
        <a:prstGeom prst="line">
          <a:avLst/>
        </a:prstGeom>
        <a:ln w="12700"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547936</xdr:colOff>
      <xdr:row>24</xdr:row>
      <xdr:rowOff>106881</xdr:rowOff>
    </xdr:from>
    <xdr:to>
      <xdr:col>4</xdr:col>
      <xdr:colOff>547936</xdr:colOff>
      <xdr:row>31</xdr:row>
      <xdr:rowOff>163286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ECBA9289-0BE2-283B-AEA6-4747376FE681}"/>
            </a:ext>
          </a:extLst>
        </xdr:cNvPr>
        <xdr:cNvCxnSpPr/>
      </xdr:nvCxnSpPr>
      <xdr:spPr>
        <a:xfrm>
          <a:off x="3840273" y="4917696"/>
          <a:ext cx="0" cy="1443742"/>
        </a:xfrm>
        <a:prstGeom prst="line">
          <a:avLst/>
        </a:prstGeom>
        <a:ln w="12700"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748099</xdr:colOff>
      <xdr:row>24</xdr:row>
      <xdr:rowOff>106881</xdr:rowOff>
    </xdr:from>
    <xdr:to>
      <xdr:col>5</xdr:col>
      <xdr:colOff>748099</xdr:colOff>
      <xdr:row>31</xdr:row>
      <xdr:rowOff>163286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B147295A-A47A-04BC-EB95-28D87505E085}"/>
            </a:ext>
          </a:extLst>
        </xdr:cNvPr>
        <xdr:cNvCxnSpPr/>
      </xdr:nvCxnSpPr>
      <xdr:spPr>
        <a:xfrm>
          <a:off x="4889403" y="4917696"/>
          <a:ext cx="0" cy="1443742"/>
        </a:xfrm>
        <a:prstGeom prst="line">
          <a:avLst/>
        </a:prstGeom>
        <a:ln w="12700"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582447</xdr:colOff>
      <xdr:row>24</xdr:row>
      <xdr:rowOff>106881</xdr:rowOff>
    </xdr:from>
    <xdr:to>
      <xdr:col>6</xdr:col>
      <xdr:colOff>582447</xdr:colOff>
      <xdr:row>31</xdr:row>
      <xdr:rowOff>163286</xdr:rowOff>
    </xdr:to>
    <xdr:cxnSp macro="">
      <xdr:nvCxnSpPr>
        <xdr:cNvPr id="14" name="Conector recto 13">
          <a:extLst>
            <a:ext uri="{FF2B5EF4-FFF2-40B4-BE49-F238E27FC236}">
              <a16:creationId xmlns:a16="http://schemas.microsoft.com/office/drawing/2014/main" id="{82A97899-D869-A709-40EC-8CB09F347B62}"/>
            </a:ext>
          </a:extLst>
        </xdr:cNvPr>
        <xdr:cNvCxnSpPr/>
      </xdr:nvCxnSpPr>
      <xdr:spPr>
        <a:xfrm>
          <a:off x="5662447" y="4917696"/>
          <a:ext cx="0" cy="1443742"/>
        </a:xfrm>
        <a:prstGeom prst="line">
          <a:avLst/>
        </a:prstGeom>
        <a:ln w="12700"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55214</xdr:colOff>
      <xdr:row>23</xdr:row>
      <xdr:rowOff>110434</xdr:rowOff>
    </xdr:from>
    <xdr:to>
      <xdr:col>3</xdr:col>
      <xdr:colOff>62118</xdr:colOff>
      <xdr:row>24</xdr:row>
      <xdr:rowOff>117336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5FB86537-58F8-F967-4072-4490D1C268B1}"/>
            </a:ext>
          </a:extLst>
        </xdr:cNvPr>
        <xdr:cNvSpPr txBox="1"/>
      </xdr:nvSpPr>
      <xdr:spPr>
        <a:xfrm>
          <a:off x="1566790" y="4721086"/>
          <a:ext cx="683317" cy="2070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900" b="1"/>
            <a:t>Cosecha 1</a:t>
          </a:r>
        </a:p>
      </xdr:txBody>
    </xdr:sp>
    <xdr:clientData/>
  </xdr:twoCellAnchor>
  <xdr:twoCellAnchor>
    <xdr:from>
      <xdr:col>3</xdr:col>
      <xdr:colOff>503857</xdr:colOff>
      <xdr:row>23</xdr:row>
      <xdr:rowOff>110434</xdr:rowOff>
    </xdr:from>
    <xdr:to>
      <xdr:col>4</xdr:col>
      <xdr:colOff>82826</xdr:colOff>
      <xdr:row>24</xdr:row>
      <xdr:rowOff>117336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DA19A1A5-3F93-195F-F91C-AE0E6DAE36BC}"/>
            </a:ext>
          </a:extLst>
        </xdr:cNvPr>
        <xdr:cNvSpPr txBox="1"/>
      </xdr:nvSpPr>
      <xdr:spPr>
        <a:xfrm>
          <a:off x="2691846" y="4721086"/>
          <a:ext cx="683317" cy="2070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900" b="1"/>
            <a:t>Cosecha 2</a:t>
          </a:r>
        </a:p>
      </xdr:txBody>
    </xdr:sp>
    <xdr:clientData/>
  </xdr:twoCellAnchor>
  <xdr:twoCellAnchor>
    <xdr:from>
      <xdr:col>4</xdr:col>
      <xdr:colOff>200161</xdr:colOff>
      <xdr:row>23</xdr:row>
      <xdr:rowOff>110434</xdr:rowOff>
    </xdr:from>
    <xdr:to>
      <xdr:col>5</xdr:col>
      <xdr:colOff>34511</xdr:colOff>
      <xdr:row>24</xdr:row>
      <xdr:rowOff>117336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6E12C381-B14B-E1A4-DB0E-4A8B71A92F5B}"/>
            </a:ext>
          </a:extLst>
        </xdr:cNvPr>
        <xdr:cNvSpPr txBox="1"/>
      </xdr:nvSpPr>
      <xdr:spPr>
        <a:xfrm>
          <a:off x="3492498" y="4721086"/>
          <a:ext cx="683317" cy="2070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900" b="1"/>
            <a:t>Cosecha 3</a:t>
          </a:r>
        </a:p>
      </xdr:txBody>
    </xdr:sp>
    <xdr:clientData/>
  </xdr:twoCellAnchor>
  <xdr:twoCellAnchor>
    <xdr:from>
      <xdr:col>5</xdr:col>
      <xdr:colOff>414126</xdr:colOff>
      <xdr:row>23</xdr:row>
      <xdr:rowOff>110434</xdr:rowOff>
    </xdr:from>
    <xdr:to>
      <xdr:col>6</xdr:col>
      <xdr:colOff>158747</xdr:colOff>
      <xdr:row>24</xdr:row>
      <xdr:rowOff>117336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841ED1C2-C212-2399-74C2-53FBCAAB9E95}"/>
            </a:ext>
          </a:extLst>
        </xdr:cNvPr>
        <xdr:cNvSpPr txBox="1"/>
      </xdr:nvSpPr>
      <xdr:spPr>
        <a:xfrm>
          <a:off x="4555430" y="4721086"/>
          <a:ext cx="683317" cy="2070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900" b="1"/>
            <a:t>Cosecha 4</a:t>
          </a:r>
        </a:p>
      </xdr:txBody>
    </xdr:sp>
    <xdr:clientData/>
  </xdr:twoCellAnchor>
  <xdr:twoCellAnchor>
    <xdr:from>
      <xdr:col>6</xdr:col>
      <xdr:colOff>234670</xdr:colOff>
      <xdr:row>23</xdr:row>
      <xdr:rowOff>110434</xdr:rowOff>
    </xdr:from>
    <xdr:to>
      <xdr:col>6</xdr:col>
      <xdr:colOff>917987</xdr:colOff>
      <xdr:row>24</xdr:row>
      <xdr:rowOff>117336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CD1BF693-4324-F6C2-5D65-15AD20A8553F}"/>
            </a:ext>
          </a:extLst>
        </xdr:cNvPr>
        <xdr:cNvSpPr txBox="1"/>
      </xdr:nvSpPr>
      <xdr:spPr>
        <a:xfrm>
          <a:off x="5314670" y="4721086"/>
          <a:ext cx="683317" cy="2070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900" b="1"/>
            <a:t>Cosecha 5</a:t>
          </a:r>
        </a:p>
      </xdr:txBody>
    </xdr:sp>
    <xdr:clientData/>
  </xdr:twoCellAnchor>
  <xdr:twoCellAnchor>
    <xdr:from>
      <xdr:col>22</xdr:col>
      <xdr:colOff>101600</xdr:colOff>
      <xdr:row>21</xdr:row>
      <xdr:rowOff>101600</xdr:rowOff>
    </xdr:from>
    <xdr:to>
      <xdr:col>28</xdr:col>
      <xdr:colOff>1129751</xdr:colOff>
      <xdr:row>36</xdr:row>
      <xdr:rowOff>87814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EC26981B-CFEB-4E66-80DF-12F25FA1E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96054</xdr:colOff>
      <xdr:row>51</xdr:row>
      <xdr:rowOff>175474</xdr:rowOff>
    </xdr:from>
    <xdr:to>
      <xdr:col>28</xdr:col>
      <xdr:colOff>1125635</xdr:colOff>
      <xdr:row>67</xdr:row>
      <xdr:rowOff>31826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80B96221-F897-4979-BE98-B5973375B5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98379</xdr:colOff>
      <xdr:row>36</xdr:row>
      <xdr:rowOff>107324</xdr:rowOff>
    </xdr:from>
    <xdr:to>
      <xdr:col>28</xdr:col>
      <xdr:colOff>1127960</xdr:colOff>
      <xdr:row>51</xdr:row>
      <xdr:rowOff>151492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8F83337-D578-4EC9-B3C5-3F50D50E75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98381</xdr:colOff>
      <xdr:row>67</xdr:row>
      <xdr:rowOff>53662</xdr:rowOff>
    </xdr:from>
    <xdr:to>
      <xdr:col>28</xdr:col>
      <xdr:colOff>1127962</xdr:colOff>
      <xdr:row>82</xdr:row>
      <xdr:rowOff>97830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A26347CC-3960-494F-A8B7-EBBBE1C65E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36</xdr:col>
      <xdr:colOff>199754</xdr:colOff>
      <xdr:row>22</xdr:row>
      <xdr:rowOff>72078</xdr:rowOff>
    </xdr:from>
    <xdr:to>
      <xdr:col>40</xdr:col>
      <xdr:colOff>1371408</xdr:colOff>
      <xdr:row>37</xdr:row>
      <xdr:rowOff>38594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6AD41A84-AF10-499C-1A17-0C8168E729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44</xdr:col>
      <xdr:colOff>509568</xdr:colOff>
      <xdr:row>22</xdr:row>
      <xdr:rowOff>54877</xdr:rowOff>
    </xdr:from>
    <xdr:to>
      <xdr:col>51</xdr:col>
      <xdr:colOff>164623</xdr:colOff>
      <xdr:row>37</xdr:row>
      <xdr:rowOff>56769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791F0E82-5C3B-4045-9653-569626E77D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0.21121</cdr:x>
      <cdr:y>0.21287</cdr:y>
    </cdr:from>
    <cdr:to>
      <cdr:x>0.21121</cdr:x>
      <cdr:y>0.70853</cdr:y>
    </cdr:to>
    <cdr:cxnSp macro="">
      <cdr:nvCxnSpPr>
        <cdr:cNvPr id="2" name="Conector recto 1">
          <a:extLst xmlns:a="http://schemas.openxmlformats.org/drawingml/2006/main">
            <a:ext uri="{FF2B5EF4-FFF2-40B4-BE49-F238E27FC236}">
              <a16:creationId xmlns:a16="http://schemas.microsoft.com/office/drawing/2014/main" id="{50524F92-3240-DD69-113E-B5821CBDB9E9}"/>
            </a:ext>
          </a:extLst>
        </cdr:cNvPr>
        <cdr:cNvCxnSpPr/>
      </cdr:nvCxnSpPr>
      <cdr:spPr>
        <a:xfrm xmlns:a="http://schemas.openxmlformats.org/drawingml/2006/main">
          <a:off x="1268248" y="620027"/>
          <a:ext cx="0" cy="1443742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0.40086</cdr:x>
      <cdr:y>0.21287</cdr:y>
    </cdr:from>
    <cdr:to>
      <cdr:x>0.40086</cdr:x>
      <cdr:y>0.70853</cdr:y>
    </cdr:to>
    <cdr:cxnSp macro="">
      <cdr:nvCxnSpPr>
        <cdr:cNvPr id="3" name="Conector recto 2">
          <a:extLst xmlns:a="http://schemas.openxmlformats.org/drawingml/2006/main">
            <a:ext uri="{FF2B5EF4-FFF2-40B4-BE49-F238E27FC236}">
              <a16:creationId xmlns:a16="http://schemas.microsoft.com/office/drawing/2014/main" id="{D7CC570E-7700-111A-3387-C3E3493B4310}"/>
            </a:ext>
          </a:extLst>
        </cdr:cNvPr>
        <cdr:cNvCxnSpPr/>
      </cdr:nvCxnSpPr>
      <cdr:spPr>
        <a:xfrm xmlns:a="http://schemas.openxmlformats.org/drawingml/2006/main">
          <a:off x="2407105" y="620027"/>
          <a:ext cx="0" cy="1443742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0.5411</cdr:x>
      <cdr:y>0.21287</cdr:y>
    </cdr:from>
    <cdr:to>
      <cdr:x>0.5411</cdr:x>
      <cdr:y>0.70853</cdr:y>
    </cdr:to>
    <cdr:cxnSp macro="">
      <cdr:nvCxnSpPr>
        <cdr:cNvPr id="4" name="Conector recto 3">
          <a:extLst xmlns:a="http://schemas.openxmlformats.org/drawingml/2006/main">
            <a:ext uri="{FF2B5EF4-FFF2-40B4-BE49-F238E27FC236}">
              <a16:creationId xmlns:a16="http://schemas.microsoft.com/office/drawing/2014/main" id="{ECBA9289-0BE2-283B-AEA6-4747376FE681}"/>
            </a:ext>
          </a:extLst>
        </cdr:cNvPr>
        <cdr:cNvCxnSpPr/>
      </cdr:nvCxnSpPr>
      <cdr:spPr>
        <a:xfrm xmlns:a="http://schemas.openxmlformats.org/drawingml/2006/main">
          <a:off x="3249170" y="620027"/>
          <a:ext cx="0" cy="1443742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0.71581</cdr:x>
      <cdr:y>0.21287</cdr:y>
    </cdr:from>
    <cdr:to>
      <cdr:x>0.71581</cdr:x>
      <cdr:y>0.70853</cdr:y>
    </cdr:to>
    <cdr:cxnSp macro="">
      <cdr:nvCxnSpPr>
        <cdr:cNvPr id="5" name="Conector recto 4">
          <a:extLst xmlns:a="http://schemas.openxmlformats.org/drawingml/2006/main">
            <a:ext uri="{FF2B5EF4-FFF2-40B4-BE49-F238E27FC236}">
              <a16:creationId xmlns:a16="http://schemas.microsoft.com/office/drawing/2014/main" id="{B147295A-A47A-04BC-EB95-28D87505E085}"/>
            </a:ext>
          </a:extLst>
        </cdr:cNvPr>
        <cdr:cNvCxnSpPr/>
      </cdr:nvCxnSpPr>
      <cdr:spPr>
        <a:xfrm xmlns:a="http://schemas.openxmlformats.org/drawingml/2006/main">
          <a:off x="4305213" y="609317"/>
          <a:ext cx="0" cy="1418772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0.84455</cdr:x>
      <cdr:y>0.21287</cdr:y>
    </cdr:from>
    <cdr:to>
      <cdr:x>0.84455</cdr:x>
      <cdr:y>0.70853</cdr:y>
    </cdr:to>
    <cdr:cxnSp macro="">
      <cdr:nvCxnSpPr>
        <cdr:cNvPr id="6" name="Conector recto 5">
          <a:extLst xmlns:a="http://schemas.openxmlformats.org/drawingml/2006/main">
            <a:ext uri="{FF2B5EF4-FFF2-40B4-BE49-F238E27FC236}">
              <a16:creationId xmlns:a16="http://schemas.microsoft.com/office/drawing/2014/main" id="{82A97899-D869-A709-40EC-8CB09F347B62}"/>
            </a:ext>
          </a:extLst>
        </cdr:cNvPr>
        <cdr:cNvCxnSpPr/>
      </cdr:nvCxnSpPr>
      <cdr:spPr>
        <a:xfrm xmlns:a="http://schemas.openxmlformats.org/drawingml/2006/main">
          <a:off x="5071344" y="620027"/>
          <a:ext cx="0" cy="1443742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0.16708</cdr:x>
      <cdr:y>0.14303</cdr:y>
    </cdr:from>
    <cdr:to>
      <cdr:x>0.28088</cdr:x>
      <cdr:y>0.21412</cdr:y>
    </cdr:to>
    <cdr:sp macro="" textlink="">
      <cdr:nvSpPr>
        <cdr:cNvPr id="7" name="CuadroTexto 14">
          <a:extLst xmlns:a="http://schemas.openxmlformats.org/drawingml/2006/main">
            <a:ext uri="{FF2B5EF4-FFF2-40B4-BE49-F238E27FC236}">
              <a16:creationId xmlns:a16="http://schemas.microsoft.com/office/drawing/2014/main" id="{5FB86537-58F8-F967-4072-4490D1C268B1}"/>
            </a:ext>
          </a:extLst>
        </cdr:cNvPr>
        <cdr:cNvSpPr txBox="1"/>
      </cdr:nvSpPr>
      <cdr:spPr>
        <a:xfrm xmlns:a="http://schemas.openxmlformats.org/drawingml/2006/main">
          <a:off x="1003300" y="416615"/>
          <a:ext cx="683317" cy="20706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 b="1"/>
            <a:t>Cosecha 1</a:t>
          </a:r>
        </a:p>
      </cdr:txBody>
    </cdr:sp>
  </cdr:relSizeAnchor>
  <cdr:relSizeAnchor xmlns:cdr="http://schemas.openxmlformats.org/drawingml/2006/chartDrawing">
    <cdr:from>
      <cdr:x>0.35444</cdr:x>
      <cdr:y>0.14303</cdr:y>
    </cdr:from>
    <cdr:to>
      <cdr:x>0.46824</cdr:x>
      <cdr:y>0.21412</cdr:y>
    </cdr:to>
    <cdr:sp macro="" textlink="">
      <cdr:nvSpPr>
        <cdr:cNvPr id="8" name="CuadroTexto 15">
          <a:extLst xmlns:a="http://schemas.openxmlformats.org/drawingml/2006/main">
            <a:ext uri="{FF2B5EF4-FFF2-40B4-BE49-F238E27FC236}">
              <a16:creationId xmlns:a16="http://schemas.microsoft.com/office/drawing/2014/main" id="{DA19A1A5-3F93-195F-F91C-AE0E6DAE36BC}"/>
            </a:ext>
          </a:extLst>
        </cdr:cNvPr>
        <cdr:cNvSpPr txBox="1"/>
      </cdr:nvSpPr>
      <cdr:spPr>
        <a:xfrm xmlns:a="http://schemas.openxmlformats.org/drawingml/2006/main">
          <a:off x="2128356" y="416615"/>
          <a:ext cx="683317" cy="20706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 b="1"/>
            <a:t>Cosecha 2</a:t>
          </a:r>
        </a:p>
      </cdr:txBody>
    </cdr:sp>
  </cdr:relSizeAnchor>
  <cdr:relSizeAnchor xmlns:cdr="http://schemas.openxmlformats.org/drawingml/2006/chartDrawing">
    <cdr:from>
      <cdr:x>0.48778</cdr:x>
      <cdr:y>0.14303</cdr:y>
    </cdr:from>
    <cdr:to>
      <cdr:x>0.60157</cdr:x>
      <cdr:y>0.21412</cdr:y>
    </cdr:to>
    <cdr:sp macro="" textlink="">
      <cdr:nvSpPr>
        <cdr:cNvPr id="9" name="CuadroTexto 16">
          <a:extLst xmlns:a="http://schemas.openxmlformats.org/drawingml/2006/main">
            <a:ext uri="{FF2B5EF4-FFF2-40B4-BE49-F238E27FC236}">
              <a16:creationId xmlns:a16="http://schemas.microsoft.com/office/drawing/2014/main" id="{6E12C381-B14B-E1A4-DB0E-4A8B71A92F5B}"/>
            </a:ext>
          </a:extLst>
        </cdr:cNvPr>
        <cdr:cNvSpPr txBox="1"/>
      </cdr:nvSpPr>
      <cdr:spPr>
        <a:xfrm xmlns:a="http://schemas.openxmlformats.org/drawingml/2006/main">
          <a:off x="2929008" y="416615"/>
          <a:ext cx="683317" cy="207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 b="1"/>
            <a:t>Cosecha 3</a:t>
          </a:r>
        </a:p>
      </cdr:txBody>
    </cdr:sp>
  </cdr:relSizeAnchor>
  <cdr:relSizeAnchor xmlns:cdr="http://schemas.openxmlformats.org/drawingml/2006/chartDrawing">
    <cdr:from>
      <cdr:x>0.66479</cdr:x>
      <cdr:y>0.14303</cdr:y>
    </cdr:from>
    <cdr:to>
      <cdr:x>0.77859</cdr:x>
      <cdr:y>0.21412</cdr:y>
    </cdr:to>
    <cdr:sp macro="" textlink="">
      <cdr:nvSpPr>
        <cdr:cNvPr id="10" name="CuadroTexto 17">
          <a:extLst xmlns:a="http://schemas.openxmlformats.org/drawingml/2006/main">
            <a:ext uri="{FF2B5EF4-FFF2-40B4-BE49-F238E27FC236}">
              <a16:creationId xmlns:a16="http://schemas.microsoft.com/office/drawing/2014/main" id="{841ED1C2-C212-2399-74C2-53FBCAAB9E95}"/>
            </a:ext>
          </a:extLst>
        </cdr:cNvPr>
        <cdr:cNvSpPr txBox="1"/>
      </cdr:nvSpPr>
      <cdr:spPr>
        <a:xfrm xmlns:a="http://schemas.openxmlformats.org/drawingml/2006/main">
          <a:off x="3991940" y="416615"/>
          <a:ext cx="683317" cy="20706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 b="1"/>
            <a:t>Cosecha 4</a:t>
          </a:r>
        </a:p>
      </cdr:txBody>
    </cdr:sp>
  </cdr:relSizeAnchor>
  <cdr:relSizeAnchor xmlns:cdr="http://schemas.openxmlformats.org/drawingml/2006/chartDrawing">
    <cdr:from>
      <cdr:x>0.79123</cdr:x>
      <cdr:y>0.14303</cdr:y>
    </cdr:from>
    <cdr:to>
      <cdr:x>0.90503</cdr:x>
      <cdr:y>0.21412</cdr:y>
    </cdr:to>
    <cdr:sp macro="" textlink="">
      <cdr:nvSpPr>
        <cdr:cNvPr id="11" name="CuadroTexto 18">
          <a:extLst xmlns:a="http://schemas.openxmlformats.org/drawingml/2006/main">
            <a:ext uri="{FF2B5EF4-FFF2-40B4-BE49-F238E27FC236}">
              <a16:creationId xmlns:a16="http://schemas.microsoft.com/office/drawing/2014/main" id="{CD1BF693-4324-F6C2-5D65-15AD20A8553F}"/>
            </a:ext>
          </a:extLst>
        </cdr:cNvPr>
        <cdr:cNvSpPr txBox="1"/>
      </cdr:nvSpPr>
      <cdr:spPr>
        <a:xfrm xmlns:a="http://schemas.openxmlformats.org/drawingml/2006/main">
          <a:off x="4751180" y="416615"/>
          <a:ext cx="683317" cy="20706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 b="1"/>
            <a:t>Cosecha 5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0.23205</cdr:x>
      <cdr:y>0.20898</cdr:y>
    </cdr:from>
    <cdr:to>
      <cdr:x>0.23205</cdr:x>
      <cdr:y>0.70465</cdr:y>
    </cdr:to>
    <cdr:cxnSp macro="">
      <cdr:nvCxnSpPr>
        <cdr:cNvPr id="2" name="Conector recto 1">
          <a:extLst xmlns:a="http://schemas.openxmlformats.org/drawingml/2006/main">
            <a:ext uri="{FF2B5EF4-FFF2-40B4-BE49-F238E27FC236}">
              <a16:creationId xmlns:a16="http://schemas.microsoft.com/office/drawing/2014/main" id="{D5F30AFC-C6BA-8381-6C63-E7B01FDA1BD6}"/>
            </a:ext>
          </a:extLst>
        </cdr:cNvPr>
        <cdr:cNvCxnSpPr/>
      </cdr:nvCxnSpPr>
      <cdr:spPr>
        <a:xfrm xmlns:a="http://schemas.openxmlformats.org/drawingml/2006/main">
          <a:off x="1401874" y="608707"/>
          <a:ext cx="0" cy="1443742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0.42056</cdr:x>
      <cdr:y>0.20898</cdr:y>
    </cdr:from>
    <cdr:to>
      <cdr:x>0.42056</cdr:x>
      <cdr:y>0.70465</cdr:y>
    </cdr:to>
    <cdr:cxnSp macro="">
      <cdr:nvCxnSpPr>
        <cdr:cNvPr id="3" name="Conector recto 2">
          <a:extLst xmlns:a="http://schemas.openxmlformats.org/drawingml/2006/main">
            <a:ext uri="{FF2B5EF4-FFF2-40B4-BE49-F238E27FC236}">
              <a16:creationId xmlns:a16="http://schemas.microsoft.com/office/drawing/2014/main" id="{E16BB195-DF2A-A325-223F-1A3C883F257B}"/>
            </a:ext>
          </a:extLst>
        </cdr:cNvPr>
        <cdr:cNvCxnSpPr/>
      </cdr:nvCxnSpPr>
      <cdr:spPr>
        <a:xfrm xmlns:a="http://schemas.openxmlformats.org/drawingml/2006/main">
          <a:off x="2540731" y="608707"/>
          <a:ext cx="0" cy="1443742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0.55994</cdr:x>
      <cdr:y>0.20898</cdr:y>
    </cdr:from>
    <cdr:to>
      <cdr:x>0.55994</cdr:x>
      <cdr:y>0.70465</cdr:y>
    </cdr:to>
    <cdr:cxnSp macro="">
      <cdr:nvCxnSpPr>
        <cdr:cNvPr id="4" name="Conector recto 3">
          <a:extLst xmlns:a="http://schemas.openxmlformats.org/drawingml/2006/main">
            <a:ext uri="{FF2B5EF4-FFF2-40B4-BE49-F238E27FC236}">
              <a16:creationId xmlns:a16="http://schemas.microsoft.com/office/drawing/2014/main" id="{E01FDAF1-B8F6-53DC-4CB6-8C7BB54FFCE3}"/>
            </a:ext>
          </a:extLst>
        </cdr:cNvPr>
        <cdr:cNvCxnSpPr/>
      </cdr:nvCxnSpPr>
      <cdr:spPr>
        <a:xfrm xmlns:a="http://schemas.openxmlformats.org/drawingml/2006/main">
          <a:off x="3382796" y="608707"/>
          <a:ext cx="0" cy="1443742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0.7336</cdr:x>
      <cdr:y>0.20898</cdr:y>
    </cdr:from>
    <cdr:to>
      <cdr:x>0.7336</cdr:x>
      <cdr:y>0.70465</cdr:y>
    </cdr:to>
    <cdr:cxnSp macro="">
      <cdr:nvCxnSpPr>
        <cdr:cNvPr id="5" name="Conector recto 4">
          <a:extLst xmlns:a="http://schemas.openxmlformats.org/drawingml/2006/main">
            <a:ext uri="{FF2B5EF4-FFF2-40B4-BE49-F238E27FC236}">
              <a16:creationId xmlns:a16="http://schemas.microsoft.com/office/drawing/2014/main" id="{3624A393-577A-5F3E-5EAC-2887B84FA30A}"/>
            </a:ext>
          </a:extLst>
        </cdr:cNvPr>
        <cdr:cNvCxnSpPr/>
      </cdr:nvCxnSpPr>
      <cdr:spPr>
        <a:xfrm xmlns:a="http://schemas.openxmlformats.org/drawingml/2006/main">
          <a:off x="4431926" y="608707"/>
          <a:ext cx="0" cy="1443742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0.86156</cdr:x>
      <cdr:y>0.20898</cdr:y>
    </cdr:from>
    <cdr:to>
      <cdr:x>0.86156</cdr:x>
      <cdr:y>0.70465</cdr:y>
    </cdr:to>
    <cdr:cxnSp macro="">
      <cdr:nvCxnSpPr>
        <cdr:cNvPr id="6" name="Conector recto 5">
          <a:extLst xmlns:a="http://schemas.openxmlformats.org/drawingml/2006/main">
            <a:ext uri="{FF2B5EF4-FFF2-40B4-BE49-F238E27FC236}">
              <a16:creationId xmlns:a16="http://schemas.microsoft.com/office/drawing/2014/main" id="{B3C60337-EBC7-A759-7701-EBC572BC8877}"/>
            </a:ext>
          </a:extLst>
        </cdr:cNvPr>
        <cdr:cNvCxnSpPr/>
      </cdr:nvCxnSpPr>
      <cdr:spPr>
        <a:xfrm xmlns:a="http://schemas.openxmlformats.org/drawingml/2006/main">
          <a:off x="5204970" y="608707"/>
          <a:ext cx="0" cy="1443742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0.16836</cdr:x>
      <cdr:y>0.14303</cdr:y>
    </cdr:from>
    <cdr:to>
      <cdr:x>0.28146</cdr:x>
      <cdr:y>0.21412</cdr:y>
    </cdr:to>
    <cdr:sp macro="" textlink="">
      <cdr:nvSpPr>
        <cdr:cNvPr id="7" name="CuadroTexto 14">
          <a:extLst xmlns:a="http://schemas.openxmlformats.org/drawingml/2006/main">
            <a:ext uri="{FF2B5EF4-FFF2-40B4-BE49-F238E27FC236}">
              <a16:creationId xmlns:a16="http://schemas.microsoft.com/office/drawing/2014/main" id="{9BAE012C-A661-1ECB-8BFC-99F8EEA6B2A1}"/>
            </a:ext>
          </a:extLst>
        </cdr:cNvPr>
        <cdr:cNvSpPr txBox="1"/>
      </cdr:nvSpPr>
      <cdr:spPr>
        <a:xfrm xmlns:a="http://schemas.openxmlformats.org/drawingml/2006/main">
          <a:off x="1017104" y="416615"/>
          <a:ext cx="683317" cy="20706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 b="1"/>
            <a:t>Cosecha 1</a:t>
          </a:r>
        </a:p>
      </cdr:txBody>
    </cdr:sp>
  </cdr:relSizeAnchor>
  <cdr:relSizeAnchor xmlns:cdr="http://schemas.openxmlformats.org/drawingml/2006/chartDrawing">
    <cdr:from>
      <cdr:x>0.35458</cdr:x>
      <cdr:y>0.14303</cdr:y>
    </cdr:from>
    <cdr:to>
      <cdr:x>0.46769</cdr:x>
      <cdr:y>0.21412</cdr:y>
    </cdr:to>
    <cdr:sp macro="" textlink="">
      <cdr:nvSpPr>
        <cdr:cNvPr id="8" name="CuadroTexto 15">
          <a:extLst xmlns:a="http://schemas.openxmlformats.org/drawingml/2006/main">
            <a:ext uri="{FF2B5EF4-FFF2-40B4-BE49-F238E27FC236}">
              <a16:creationId xmlns:a16="http://schemas.microsoft.com/office/drawing/2014/main" id="{E6010C26-52CA-B0E7-0F8E-69E45888462A}"/>
            </a:ext>
          </a:extLst>
        </cdr:cNvPr>
        <cdr:cNvSpPr txBox="1"/>
      </cdr:nvSpPr>
      <cdr:spPr>
        <a:xfrm xmlns:a="http://schemas.openxmlformats.org/drawingml/2006/main">
          <a:off x="2142160" y="416615"/>
          <a:ext cx="683317" cy="20706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 b="1"/>
            <a:t>Cosecha 2</a:t>
          </a:r>
        </a:p>
      </cdr:txBody>
    </cdr:sp>
  </cdr:relSizeAnchor>
  <cdr:relSizeAnchor xmlns:cdr="http://schemas.openxmlformats.org/drawingml/2006/chartDrawing">
    <cdr:from>
      <cdr:x>0.48711</cdr:x>
      <cdr:y>0.14303</cdr:y>
    </cdr:from>
    <cdr:to>
      <cdr:x>0.60022</cdr:x>
      <cdr:y>0.21412</cdr:y>
    </cdr:to>
    <cdr:sp macro="" textlink="">
      <cdr:nvSpPr>
        <cdr:cNvPr id="9" name="CuadroTexto 16">
          <a:extLst xmlns:a="http://schemas.openxmlformats.org/drawingml/2006/main">
            <a:ext uri="{FF2B5EF4-FFF2-40B4-BE49-F238E27FC236}">
              <a16:creationId xmlns:a16="http://schemas.microsoft.com/office/drawing/2014/main" id="{0E09B9AF-233B-E931-626F-529A01A1C57B}"/>
            </a:ext>
          </a:extLst>
        </cdr:cNvPr>
        <cdr:cNvSpPr txBox="1"/>
      </cdr:nvSpPr>
      <cdr:spPr>
        <a:xfrm xmlns:a="http://schemas.openxmlformats.org/drawingml/2006/main">
          <a:off x="2942812" y="416615"/>
          <a:ext cx="683317" cy="207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 b="1"/>
            <a:t>Cosecha 3</a:t>
          </a:r>
        </a:p>
      </cdr:txBody>
    </cdr:sp>
  </cdr:relSizeAnchor>
  <cdr:relSizeAnchor xmlns:cdr="http://schemas.openxmlformats.org/drawingml/2006/chartDrawing">
    <cdr:from>
      <cdr:x>0.66306</cdr:x>
      <cdr:y>0.14303</cdr:y>
    </cdr:from>
    <cdr:to>
      <cdr:x>0.77616</cdr:x>
      <cdr:y>0.21412</cdr:y>
    </cdr:to>
    <cdr:sp macro="" textlink="">
      <cdr:nvSpPr>
        <cdr:cNvPr id="10" name="CuadroTexto 17">
          <a:extLst xmlns:a="http://schemas.openxmlformats.org/drawingml/2006/main">
            <a:ext uri="{FF2B5EF4-FFF2-40B4-BE49-F238E27FC236}">
              <a16:creationId xmlns:a16="http://schemas.microsoft.com/office/drawing/2014/main" id="{4AD4A1B3-340F-4948-9119-C4CDEC2FFE4B}"/>
            </a:ext>
          </a:extLst>
        </cdr:cNvPr>
        <cdr:cNvSpPr txBox="1"/>
      </cdr:nvSpPr>
      <cdr:spPr>
        <a:xfrm xmlns:a="http://schemas.openxmlformats.org/drawingml/2006/main">
          <a:off x="4005744" y="416615"/>
          <a:ext cx="683317" cy="20706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 b="1"/>
            <a:t>Cosecha 4</a:t>
          </a:r>
        </a:p>
      </cdr:txBody>
    </cdr:sp>
  </cdr:relSizeAnchor>
  <cdr:relSizeAnchor xmlns:cdr="http://schemas.openxmlformats.org/drawingml/2006/chartDrawing">
    <cdr:from>
      <cdr:x>0.78873</cdr:x>
      <cdr:y>0.14303</cdr:y>
    </cdr:from>
    <cdr:to>
      <cdr:x>0.90184</cdr:x>
      <cdr:y>0.21412</cdr:y>
    </cdr:to>
    <cdr:sp macro="" textlink="">
      <cdr:nvSpPr>
        <cdr:cNvPr id="11" name="CuadroTexto 18">
          <a:extLst xmlns:a="http://schemas.openxmlformats.org/drawingml/2006/main">
            <a:ext uri="{FF2B5EF4-FFF2-40B4-BE49-F238E27FC236}">
              <a16:creationId xmlns:a16="http://schemas.microsoft.com/office/drawing/2014/main" id="{1452C35E-C707-E2B1-7648-CB145B190987}"/>
            </a:ext>
          </a:extLst>
        </cdr:cNvPr>
        <cdr:cNvSpPr txBox="1"/>
      </cdr:nvSpPr>
      <cdr:spPr>
        <a:xfrm xmlns:a="http://schemas.openxmlformats.org/drawingml/2006/main">
          <a:off x="4764984" y="416615"/>
          <a:ext cx="683317" cy="20706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 b="1"/>
            <a:t>Cosecha 5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0.23205</cdr:x>
      <cdr:y>0.20898</cdr:y>
    </cdr:from>
    <cdr:to>
      <cdr:x>0.23205</cdr:x>
      <cdr:y>0.70465</cdr:y>
    </cdr:to>
    <cdr:cxnSp macro="">
      <cdr:nvCxnSpPr>
        <cdr:cNvPr id="2" name="Conector recto 1">
          <a:extLst xmlns:a="http://schemas.openxmlformats.org/drawingml/2006/main">
            <a:ext uri="{FF2B5EF4-FFF2-40B4-BE49-F238E27FC236}">
              <a16:creationId xmlns:a16="http://schemas.microsoft.com/office/drawing/2014/main" id="{D5F30AFC-C6BA-8381-6C63-E7B01FDA1BD6}"/>
            </a:ext>
          </a:extLst>
        </cdr:cNvPr>
        <cdr:cNvCxnSpPr/>
      </cdr:nvCxnSpPr>
      <cdr:spPr>
        <a:xfrm xmlns:a="http://schemas.openxmlformats.org/drawingml/2006/main">
          <a:off x="1401874" y="608707"/>
          <a:ext cx="0" cy="1443742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0.42056</cdr:x>
      <cdr:y>0.20898</cdr:y>
    </cdr:from>
    <cdr:to>
      <cdr:x>0.42056</cdr:x>
      <cdr:y>0.70465</cdr:y>
    </cdr:to>
    <cdr:cxnSp macro="">
      <cdr:nvCxnSpPr>
        <cdr:cNvPr id="3" name="Conector recto 2">
          <a:extLst xmlns:a="http://schemas.openxmlformats.org/drawingml/2006/main">
            <a:ext uri="{FF2B5EF4-FFF2-40B4-BE49-F238E27FC236}">
              <a16:creationId xmlns:a16="http://schemas.microsoft.com/office/drawing/2014/main" id="{E16BB195-DF2A-A325-223F-1A3C883F257B}"/>
            </a:ext>
          </a:extLst>
        </cdr:cNvPr>
        <cdr:cNvCxnSpPr/>
      </cdr:nvCxnSpPr>
      <cdr:spPr>
        <a:xfrm xmlns:a="http://schemas.openxmlformats.org/drawingml/2006/main">
          <a:off x="2540731" y="608707"/>
          <a:ext cx="0" cy="1443742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0.55994</cdr:x>
      <cdr:y>0.20898</cdr:y>
    </cdr:from>
    <cdr:to>
      <cdr:x>0.55994</cdr:x>
      <cdr:y>0.70465</cdr:y>
    </cdr:to>
    <cdr:cxnSp macro="">
      <cdr:nvCxnSpPr>
        <cdr:cNvPr id="4" name="Conector recto 3">
          <a:extLst xmlns:a="http://schemas.openxmlformats.org/drawingml/2006/main">
            <a:ext uri="{FF2B5EF4-FFF2-40B4-BE49-F238E27FC236}">
              <a16:creationId xmlns:a16="http://schemas.microsoft.com/office/drawing/2014/main" id="{E01FDAF1-B8F6-53DC-4CB6-8C7BB54FFCE3}"/>
            </a:ext>
          </a:extLst>
        </cdr:cNvPr>
        <cdr:cNvCxnSpPr/>
      </cdr:nvCxnSpPr>
      <cdr:spPr>
        <a:xfrm xmlns:a="http://schemas.openxmlformats.org/drawingml/2006/main">
          <a:off x="3382796" y="608707"/>
          <a:ext cx="0" cy="1443742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0.7336</cdr:x>
      <cdr:y>0.20898</cdr:y>
    </cdr:from>
    <cdr:to>
      <cdr:x>0.7336</cdr:x>
      <cdr:y>0.70465</cdr:y>
    </cdr:to>
    <cdr:cxnSp macro="">
      <cdr:nvCxnSpPr>
        <cdr:cNvPr id="5" name="Conector recto 4">
          <a:extLst xmlns:a="http://schemas.openxmlformats.org/drawingml/2006/main">
            <a:ext uri="{FF2B5EF4-FFF2-40B4-BE49-F238E27FC236}">
              <a16:creationId xmlns:a16="http://schemas.microsoft.com/office/drawing/2014/main" id="{3624A393-577A-5F3E-5EAC-2887B84FA30A}"/>
            </a:ext>
          </a:extLst>
        </cdr:cNvPr>
        <cdr:cNvCxnSpPr/>
      </cdr:nvCxnSpPr>
      <cdr:spPr>
        <a:xfrm xmlns:a="http://schemas.openxmlformats.org/drawingml/2006/main">
          <a:off x="4431926" y="608707"/>
          <a:ext cx="0" cy="1443742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0.86156</cdr:x>
      <cdr:y>0.20898</cdr:y>
    </cdr:from>
    <cdr:to>
      <cdr:x>0.86156</cdr:x>
      <cdr:y>0.70465</cdr:y>
    </cdr:to>
    <cdr:cxnSp macro="">
      <cdr:nvCxnSpPr>
        <cdr:cNvPr id="6" name="Conector recto 5">
          <a:extLst xmlns:a="http://schemas.openxmlformats.org/drawingml/2006/main">
            <a:ext uri="{FF2B5EF4-FFF2-40B4-BE49-F238E27FC236}">
              <a16:creationId xmlns:a16="http://schemas.microsoft.com/office/drawing/2014/main" id="{B3C60337-EBC7-A759-7701-EBC572BC8877}"/>
            </a:ext>
          </a:extLst>
        </cdr:cNvPr>
        <cdr:cNvCxnSpPr/>
      </cdr:nvCxnSpPr>
      <cdr:spPr>
        <a:xfrm xmlns:a="http://schemas.openxmlformats.org/drawingml/2006/main">
          <a:off x="5204970" y="608707"/>
          <a:ext cx="0" cy="1443742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0.16836</cdr:x>
      <cdr:y>0.14303</cdr:y>
    </cdr:from>
    <cdr:to>
      <cdr:x>0.28146</cdr:x>
      <cdr:y>0.21412</cdr:y>
    </cdr:to>
    <cdr:sp macro="" textlink="">
      <cdr:nvSpPr>
        <cdr:cNvPr id="7" name="CuadroTexto 14">
          <a:extLst xmlns:a="http://schemas.openxmlformats.org/drawingml/2006/main">
            <a:ext uri="{FF2B5EF4-FFF2-40B4-BE49-F238E27FC236}">
              <a16:creationId xmlns:a16="http://schemas.microsoft.com/office/drawing/2014/main" id="{9BAE012C-A661-1ECB-8BFC-99F8EEA6B2A1}"/>
            </a:ext>
          </a:extLst>
        </cdr:cNvPr>
        <cdr:cNvSpPr txBox="1"/>
      </cdr:nvSpPr>
      <cdr:spPr>
        <a:xfrm xmlns:a="http://schemas.openxmlformats.org/drawingml/2006/main">
          <a:off x="1017104" y="416615"/>
          <a:ext cx="683317" cy="20706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 b="1"/>
            <a:t>Cosecha 1</a:t>
          </a:r>
        </a:p>
      </cdr:txBody>
    </cdr:sp>
  </cdr:relSizeAnchor>
  <cdr:relSizeAnchor xmlns:cdr="http://schemas.openxmlformats.org/drawingml/2006/chartDrawing">
    <cdr:from>
      <cdr:x>0.35458</cdr:x>
      <cdr:y>0.14303</cdr:y>
    </cdr:from>
    <cdr:to>
      <cdr:x>0.46769</cdr:x>
      <cdr:y>0.21412</cdr:y>
    </cdr:to>
    <cdr:sp macro="" textlink="">
      <cdr:nvSpPr>
        <cdr:cNvPr id="8" name="CuadroTexto 15">
          <a:extLst xmlns:a="http://schemas.openxmlformats.org/drawingml/2006/main">
            <a:ext uri="{FF2B5EF4-FFF2-40B4-BE49-F238E27FC236}">
              <a16:creationId xmlns:a16="http://schemas.microsoft.com/office/drawing/2014/main" id="{E6010C26-52CA-B0E7-0F8E-69E45888462A}"/>
            </a:ext>
          </a:extLst>
        </cdr:cNvPr>
        <cdr:cNvSpPr txBox="1"/>
      </cdr:nvSpPr>
      <cdr:spPr>
        <a:xfrm xmlns:a="http://schemas.openxmlformats.org/drawingml/2006/main">
          <a:off x="2142160" y="416615"/>
          <a:ext cx="683317" cy="20706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 b="1"/>
            <a:t>Cosecha 2</a:t>
          </a:r>
        </a:p>
      </cdr:txBody>
    </cdr:sp>
  </cdr:relSizeAnchor>
  <cdr:relSizeAnchor xmlns:cdr="http://schemas.openxmlformats.org/drawingml/2006/chartDrawing">
    <cdr:from>
      <cdr:x>0.48711</cdr:x>
      <cdr:y>0.14303</cdr:y>
    </cdr:from>
    <cdr:to>
      <cdr:x>0.60022</cdr:x>
      <cdr:y>0.21412</cdr:y>
    </cdr:to>
    <cdr:sp macro="" textlink="">
      <cdr:nvSpPr>
        <cdr:cNvPr id="9" name="CuadroTexto 16">
          <a:extLst xmlns:a="http://schemas.openxmlformats.org/drawingml/2006/main">
            <a:ext uri="{FF2B5EF4-FFF2-40B4-BE49-F238E27FC236}">
              <a16:creationId xmlns:a16="http://schemas.microsoft.com/office/drawing/2014/main" id="{0E09B9AF-233B-E931-626F-529A01A1C57B}"/>
            </a:ext>
          </a:extLst>
        </cdr:cNvPr>
        <cdr:cNvSpPr txBox="1"/>
      </cdr:nvSpPr>
      <cdr:spPr>
        <a:xfrm xmlns:a="http://schemas.openxmlformats.org/drawingml/2006/main">
          <a:off x="2942812" y="416615"/>
          <a:ext cx="683317" cy="207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 b="1"/>
            <a:t>Cosecha 3</a:t>
          </a:r>
        </a:p>
      </cdr:txBody>
    </cdr:sp>
  </cdr:relSizeAnchor>
  <cdr:relSizeAnchor xmlns:cdr="http://schemas.openxmlformats.org/drawingml/2006/chartDrawing">
    <cdr:from>
      <cdr:x>0.66306</cdr:x>
      <cdr:y>0.14303</cdr:y>
    </cdr:from>
    <cdr:to>
      <cdr:x>0.77616</cdr:x>
      <cdr:y>0.21412</cdr:y>
    </cdr:to>
    <cdr:sp macro="" textlink="">
      <cdr:nvSpPr>
        <cdr:cNvPr id="10" name="CuadroTexto 17">
          <a:extLst xmlns:a="http://schemas.openxmlformats.org/drawingml/2006/main">
            <a:ext uri="{FF2B5EF4-FFF2-40B4-BE49-F238E27FC236}">
              <a16:creationId xmlns:a16="http://schemas.microsoft.com/office/drawing/2014/main" id="{4AD4A1B3-340F-4948-9119-C4CDEC2FFE4B}"/>
            </a:ext>
          </a:extLst>
        </cdr:cNvPr>
        <cdr:cNvSpPr txBox="1"/>
      </cdr:nvSpPr>
      <cdr:spPr>
        <a:xfrm xmlns:a="http://schemas.openxmlformats.org/drawingml/2006/main">
          <a:off x="4005744" y="416615"/>
          <a:ext cx="683317" cy="20706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 b="1"/>
            <a:t>Cosecha 4</a:t>
          </a:r>
        </a:p>
      </cdr:txBody>
    </cdr:sp>
  </cdr:relSizeAnchor>
  <cdr:relSizeAnchor xmlns:cdr="http://schemas.openxmlformats.org/drawingml/2006/chartDrawing">
    <cdr:from>
      <cdr:x>0.78873</cdr:x>
      <cdr:y>0.14303</cdr:y>
    </cdr:from>
    <cdr:to>
      <cdr:x>0.90184</cdr:x>
      <cdr:y>0.21412</cdr:y>
    </cdr:to>
    <cdr:sp macro="" textlink="">
      <cdr:nvSpPr>
        <cdr:cNvPr id="11" name="CuadroTexto 18">
          <a:extLst xmlns:a="http://schemas.openxmlformats.org/drawingml/2006/main">
            <a:ext uri="{FF2B5EF4-FFF2-40B4-BE49-F238E27FC236}">
              <a16:creationId xmlns:a16="http://schemas.microsoft.com/office/drawing/2014/main" id="{1452C35E-C707-E2B1-7648-CB145B190987}"/>
            </a:ext>
          </a:extLst>
        </cdr:cNvPr>
        <cdr:cNvSpPr txBox="1"/>
      </cdr:nvSpPr>
      <cdr:spPr>
        <a:xfrm xmlns:a="http://schemas.openxmlformats.org/drawingml/2006/main">
          <a:off x="4764984" y="416615"/>
          <a:ext cx="683317" cy="20706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 b="1"/>
            <a:t>Cosecha 5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0.23205</cdr:x>
      <cdr:y>0.20898</cdr:y>
    </cdr:from>
    <cdr:to>
      <cdr:x>0.23205</cdr:x>
      <cdr:y>0.70465</cdr:y>
    </cdr:to>
    <cdr:cxnSp macro="">
      <cdr:nvCxnSpPr>
        <cdr:cNvPr id="2" name="Conector recto 1">
          <a:extLst xmlns:a="http://schemas.openxmlformats.org/drawingml/2006/main">
            <a:ext uri="{FF2B5EF4-FFF2-40B4-BE49-F238E27FC236}">
              <a16:creationId xmlns:a16="http://schemas.microsoft.com/office/drawing/2014/main" id="{D5F30AFC-C6BA-8381-6C63-E7B01FDA1BD6}"/>
            </a:ext>
          </a:extLst>
        </cdr:cNvPr>
        <cdr:cNvCxnSpPr/>
      </cdr:nvCxnSpPr>
      <cdr:spPr>
        <a:xfrm xmlns:a="http://schemas.openxmlformats.org/drawingml/2006/main">
          <a:off x="1401874" y="608707"/>
          <a:ext cx="0" cy="1443742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0.42056</cdr:x>
      <cdr:y>0.20898</cdr:y>
    </cdr:from>
    <cdr:to>
      <cdr:x>0.42056</cdr:x>
      <cdr:y>0.70465</cdr:y>
    </cdr:to>
    <cdr:cxnSp macro="">
      <cdr:nvCxnSpPr>
        <cdr:cNvPr id="3" name="Conector recto 2">
          <a:extLst xmlns:a="http://schemas.openxmlformats.org/drawingml/2006/main">
            <a:ext uri="{FF2B5EF4-FFF2-40B4-BE49-F238E27FC236}">
              <a16:creationId xmlns:a16="http://schemas.microsoft.com/office/drawing/2014/main" id="{E16BB195-DF2A-A325-223F-1A3C883F257B}"/>
            </a:ext>
          </a:extLst>
        </cdr:cNvPr>
        <cdr:cNvCxnSpPr/>
      </cdr:nvCxnSpPr>
      <cdr:spPr>
        <a:xfrm xmlns:a="http://schemas.openxmlformats.org/drawingml/2006/main">
          <a:off x="2540731" y="608707"/>
          <a:ext cx="0" cy="1443742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0.55994</cdr:x>
      <cdr:y>0.20898</cdr:y>
    </cdr:from>
    <cdr:to>
      <cdr:x>0.55994</cdr:x>
      <cdr:y>0.70465</cdr:y>
    </cdr:to>
    <cdr:cxnSp macro="">
      <cdr:nvCxnSpPr>
        <cdr:cNvPr id="4" name="Conector recto 3">
          <a:extLst xmlns:a="http://schemas.openxmlformats.org/drawingml/2006/main">
            <a:ext uri="{FF2B5EF4-FFF2-40B4-BE49-F238E27FC236}">
              <a16:creationId xmlns:a16="http://schemas.microsoft.com/office/drawing/2014/main" id="{E01FDAF1-B8F6-53DC-4CB6-8C7BB54FFCE3}"/>
            </a:ext>
          </a:extLst>
        </cdr:cNvPr>
        <cdr:cNvCxnSpPr/>
      </cdr:nvCxnSpPr>
      <cdr:spPr>
        <a:xfrm xmlns:a="http://schemas.openxmlformats.org/drawingml/2006/main">
          <a:off x="3382796" y="608707"/>
          <a:ext cx="0" cy="1443742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0.7336</cdr:x>
      <cdr:y>0.20898</cdr:y>
    </cdr:from>
    <cdr:to>
      <cdr:x>0.7336</cdr:x>
      <cdr:y>0.70465</cdr:y>
    </cdr:to>
    <cdr:cxnSp macro="">
      <cdr:nvCxnSpPr>
        <cdr:cNvPr id="5" name="Conector recto 4">
          <a:extLst xmlns:a="http://schemas.openxmlformats.org/drawingml/2006/main">
            <a:ext uri="{FF2B5EF4-FFF2-40B4-BE49-F238E27FC236}">
              <a16:creationId xmlns:a16="http://schemas.microsoft.com/office/drawing/2014/main" id="{3624A393-577A-5F3E-5EAC-2887B84FA30A}"/>
            </a:ext>
          </a:extLst>
        </cdr:cNvPr>
        <cdr:cNvCxnSpPr/>
      </cdr:nvCxnSpPr>
      <cdr:spPr>
        <a:xfrm xmlns:a="http://schemas.openxmlformats.org/drawingml/2006/main">
          <a:off x="4431926" y="608707"/>
          <a:ext cx="0" cy="1443742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0.86156</cdr:x>
      <cdr:y>0.20898</cdr:y>
    </cdr:from>
    <cdr:to>
      <cdr:x>0.86156</cdr:x>
      <cdr:y>0.70465</cdr:y>
    </cdr:to>
    <cdr:cxnSp macro="">
      <cdr:nvCxnSpPr>
        <cdr:cNvPr id="6" name="Conector recto 5">
          <a:extLst xmlns:a="http://schemas.openxmlformats.org/drawingml/2006/main">
            <a:ext uri="{FF2B5EF4-FFF2-40B4-BE49-F238E27FC236}">
              <a16:creationId xmlns:a16="http://schemas.microsoft.com/office/drawing/2014/main" id="{B3C60337-EBC7-A759-7701-EBC572BC8877}"/>
            </a:ext>
          </a:extLst>
        </cdr:cNvPr>
        <cdr:cNvCxnSpPr/>
      </cdr:nvCxnSpPr>
      <cdr:spPr>
        <a:xfrm xmlns:a="http://schemas.openxmlformats.org/drawingml/2006/main">
          <a:off x="5204970" y="608707"/>
          <a:ext cx="0" cy="1443742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0.16836</cdr:x>
      <cdr:y>0.14303</cdr:y>
    </cdr:from>
    <cdr:to>
      <cdr:x>0.28146</cdr:x>
      <cdr:y>0.21412</cdr:y>
    </cdr:to>
    <cdr:sp macro="" textlink="">
      <cdr:nvSpPr>
        <cdr:cNvPr id="7" name="CuadroTexto 14">
          <a:extLst xmlns:a="http://schemas.openxmlformats.org/drawingml/2006/main">
            <a:ext uri="{FF2B5EF4-FFF2-40B4-BE49-F238E27FC236}">
              <a16:creationId xmlns:a16="http://schemas.microsoft.com/office/drawing/2014/main" id="{9BAE012C-A661-1ECB-8BFC-99F8EEA6B2A1}"/>
            </a:ext>
          </a:extLst>
        </cdr:cNvPr>
        <cdr:cNvSpPr txBox="1"/>
      </cdr:nvSpPr>
      <cdr:spPr>
        <a:xfrm xmlns:a="http://schemas.openxmlformats.org/drawingml/2006/main">
          <a:off x="1017104" y="416615"/>
          <a:ext cx="683317" cy="20706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 b="1"/>
            <a:t>Cosecha 1</a:t>
          </a:r>
        </a:p>
      </cdr:txBody>
    </cdr:sp>
  </cdr:relSizeAnchor>
  <cdr:relSizeAnchor xmlns:cdr="http://schemas.openxmlformats.org/drawingml/2006/chartDrawing">
    <cdr:from>
      <cdr:x>0.35458</cdr:x>
      <cdr:y>0.14303</cdr:y>
    </cdr:from>
    <cdr:to>
      <cdr:x>0.46769</cdr:x>
      <cdr:y>0.21412</cdr:y>
    </cdr:to>
    <cdr:sp macro="" textlink="">
      <cdr:nvSpPr>
        <cdr:cNvPr id="8" name="CuadroTexto 15">
          <a:extLst xmlns:a="http://schemas.openxmlformats.org/drawingml/2006/main">
            <a:ext uri="{FF2B5EF4-FFF2-40B4-BE49-F238E27FC236}">
              <a16:creationId xmlns:a16="http://schemas.microsoft.com/office/drawing/2014/main" id="{E6010C26-52CA-B0E7-0F8E-69E45888462A}"/>
            </a:ext>
          </a:extLst>
        </cdr:cNvPr>
        <cdr:cNvSpPr txBox="1"/>
      </cdr:nvSpPr>
      <cdr:spPr>
        <a:xfrm xmlns:a="http://schemas.openxmlformats.org/drawingml/2006/main">
          <a:off x="2142160" y="416615"/>
          <a:ext cx="683317" cy="20706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 b="1"/>
            <a:t>Cosecha 2</a:t>
          </a:r>
        </a:p>
      </cdr:txBody>
    </cdr:sp>
  </cdr:relSizeAnchor>
  <cdr:relSizeAnchor xmlns:cdr="http://schemas.openxmlformats.org/drawingml/2006/chartDrawing">
    <cdr:from>
      <cdr:x>0.48711</cdr:x>
      <cdr:y>0.14303</cdr:y>
    </cdr:from>
    <cdr:to>
      <cdr:x>0.60022</cdr:x>
      <cdr:y>0.21412</cdr:y>
    </cdr:to>
    <cdr:sp macro="" textlink="">
      <cdr:nvSpPr>
        <cdr:cNvPr id="9" name="CuadroTexto 16">
          <a:extLst xmlns:a="http://schemas.openxmlformats.org/drawingml/2006/main">
            <a:ext uri="{FF2B5EF4-FFF2-40B4-BE49-F238E27FC236}">
              <a16:creationId xmlns:a16="http://schemas.microsoft.com/office/drawing/2014/main" id="{0E09B9AF-233B-E931-626F-529A01A1C57B}"/>
            </a:ext>
          </a:extLst>
        </cdr:cNvPr>
        <cdr:cNvSpPr txBox="1"/>
      </cdr:nvSpPr>
      <cdr:spPr>
        <a:xfrm xmlns:a="http://schemas.openxmlformats.org/drawingml/2006/main">
          <a:off x="2942812" y="416615"/>
          <a:ext cx="683317" cy="207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 b="1"/>
            <a:t>Cosecha 3</a:t>
          </a:r>
        </a:p>
      </cdr:txBody>
    </cdr:sp>
  </cdr:relSizeAnchor>
  <cdr:relSizeAnchor xmlns:cdr="http://schemas.openxmlformats.org/drawingml/2006/chartDrawing">
    <cdr:from>
      <cdr:x>0.66306</cdr:x>
      <cdr:y>0.14303</cdr:y>
    </cdr:from>
    <cdr:to>
      <cdr:x>0.77616</cdr:x>
      <cdr:y>0.21412</cdr:y>
    </cdr:to>
    <cdr:sp macro="" textlink="">
      <cdr:nvSpPr>
        <cdr:cNvPr id="10" name="CuadroTexto 17">
          <a:extLst xmlns:a="http://schemas.openxmlformats.org/drawingml/2006/main">
            <a:ext uri="{FF2B5EF4-FFF2-40B4-BE49-F238E27FC236}">
              <a16:creationId xmlns:a16="http://schemas.microsoft.com/office/drawing/2014/main" id="{4AD4A1B3-340F-4948-9119-C4CDEC2FFE4B}"/>
            </a:ext>
          </a:extLst>
        </cdr:cNvPr>
        <cdr:cNvSpPr txBox="1"/>
      </cdr:nvSpPr>
      <cdr:spPr>
        <a:xfrm xmlns:a="http://schemas.openxmlformats.org/drawingml/2006/main">
          <a:off x="4005744" y="416615"/>
          <a:ext cx="683317" cy="20706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 b="1"/>
            <a:t>Cosecha 4</a:t>
          </a:r>
        </a:p>
      </cdr:txBody>
    </cdr:sp>
  </cdr:relSizeAnchor>
  <cdr:relSizeAnchor xmlns:cdr="http://schemas.openxmlformats.org/drawingml/2006/chartDrawing">
    <cdr:from>
      <cdr:x>0.78873</cdr:x>
      <cdr:y>0.14303</cdr:y>
    </cdr:from>
    <cdr:to>
      <cdr:x>0.90184</cdr:x>
      <cdr:y>0.21412</cdr:y>
    </cdr:to>
    <cdr:sp macro="" textlink="">
      <cdr:nvSpPr>
        <cdr:cNvPr id="11" name="CuadroTexto 18">
          <a:extLst xmlns:a="http://schemas.openxmlformats.org/drawingml/2006/main">
            <a:ext uri="{FF2B5EF4-FFF2-40B4-BE49-F238E27FC236}">
              <a16:creationId xmlns:a16="http://schemas.microsoft.com/office/drawing/2014/main" id="{1452C35E-C707-E2B1-7648-CB145B190987}"/>
            </a:ext>
          </a:extLst>
        </cdr:cNvPr>
        <cdr:cNvSpPr txBox="1"/>
      </cdr:nvSpPr>
      <cdr:spPr>
        <a:xfrm xmlns:a="http://schemas.openxmlformats.org/drawingml/2006/main">
          <a:off x="4764984" y="416615"/>
          <a:ext cx="683317" cy="20706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 b="1"/>
            <a:t>Cosecha 5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0.23205</cdr:x>
      <cdr:y>0.20898</cdr:y>
    </cdr:from>
    <cdr:to>
      <cdr:x>0.23205</cdr:x>
      <cdr:y>0.70465</cdr:y>
    </cdr:to>
    <cdr:cxnSp macro="">
      <cdr:nvCxnSpPr>
        <cdr:cNvPr id="2" name="Conector recto 1">
          <a:extLst xmlns:a="http://schemas.openxmlformats.org/drawingml/2006/main">
            <a:ext uri="{FF2B5EF4-FFF2-40B4-BE49-F238E27FC236}">
              <a16:creationId xmlns:a16="http://schemas.microsoft.com/office/drawing/2014/main" id="{D5F30AFC-C6BA-8381-6C63-E7B01FDA1BD6}"/>
            </a:ext>
          </a:extLst>
        </cdr:cNvPr>
        <cdr:cNvCxnSpPr/>
      </cdr:nvCxnSpPr>
      <cdr:spPr>
        <a:xfrm xmlns:a="http://schemas.openxmlformats.org/drawingml/2006/main">
          <a:off x="1401874" y="608707"/>
          <a:ext cx="0" cy="1443742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0.42056</cdr:x>
      <cdr:y>0.20898</cdr:y>
    </cdr:from>
    <cdr:to>
      <cdr:x>0.42056</cdr:x>
      <cdr:y>0.70465</cdr:y>
    </cdr:to>
    <cdr:cxnSp macro="">
      <cdr:nvCxnSpPr>
        <cdr:cNvPr id="3" name="Conector recto 2">
          <a:extLst xmlns:a="http://schemas.openxmlformats.org/drawingml/2006/main">
            <a:ext uri="{FF2B5EF4-FFF2-40B4-BE49-F238E27FC236}">
              <a16:creationId xmlns:a16="http://schemas.microsoft.com/office/drawing/2014/main" id="{E16BB195-DF2A-A325-223F-1A3C883F257B}"/>
            </a:ext>
          </a:extLst>
        </cdr:cNvPr>
        <cdr:cNvCxnSpPr/>
      </cdr:nvCxnSpPr>
      <cdr:spPr>
        <a:xfrm xmlns:a="http://schemas.openxmlformats.org/drawingml/2006/main">
          <a:off x="2540731" y="608707"/>
          <a:ext cx="0" cy="1443742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0.5711</cdr:x>
      <cdr:y>0.21407</cdr:y>
    </cdr:from>
    <cdr:to>
      <cdr:x>0.5711</cdr:x>
      <cdr:y>0.70974</cdr:y>
    </cdr:to>
    <cdr:cxnSp macro="">
      <cdr:nvCxnSpPr>
        <cdr:cNvPr id="4" name="Conector recto 3">
          <a:extLst xmlns:a="http://schemas.openxmlformats.org/drawingml/2006/main">
            <a:ext uri="{FF2B5EF4-FFF2-40B4-BE49-F238E27FC236}">
              <a16:creationId xmlns:a16="http://schemas.microsoft.com/office/drawing/2014/main" id="{E01FDAF1-B8F6-53DC-4CB6-8C7BB54FFCE3}"/>
            </a:ext>
          </a:extLst>
        </cdr:cNvPr>
        <cdr:cNvCxnSpPr/>
      </cdr:nvCxnSpPr>
      <cdr:spPr>
        <a:xfrm xmlns:a="http://schemas.openxmlformats.org/drawingml/2006/main">
          <a:off x="3442221" y="628356"/>
          <a:ext cx="0" cy="1454933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0.7336</cdr:x>
      <cdr:y>0.20898</cdr:y>
    </cdr:from>
    <cdr:to>
      <cdr:x>0.7336</cdr:x>
      <cdr:y>0.70465</cdr:y>
    </cdr:to>
    <cdr:cxnSp macro="">
      <cdr:nvCxnSpPr>
        <cdr:cNvPr id="5" name="Conector recto 4">
          <a:extLst xmlns:a="http://schemas.openxmlformats.org/drawingml/2006/main">
            <a:ext uri="{FF2B5EF4-FFF2-40B4-BE49-F238E27FC236}">
              <a16:creationId xmlns:a16="http://schemas.microsoft.com/office/drawing/2014/main" id="{3624A393-577A-5F3E-5EAC-2887B84FA30A}"/>
            </a:ext>
          </a:extLst>
        </cdr:cNvPr>
        <cdr:cNvCxnSpPr/>
      </cdr:nvCxnSpPr>
      <cdr:spPr>
        <a:xfrm xmlns:a="http://schemas.openxmlformats.org/drawingml/2006/main">
          <a:off x="4431926" y="608707"/>
          <a:ext cx="0" cy="1443742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0.86156</cdr:x>
      <cdr:y>0.20898</cdr:y>
    </cdr:from>
    <cdr:to>
      <cdr:x>0.86156</cdr:x>
      <cdr:y>0.70465</cdr:y>
    </cdr:to>
    <cdr:cxnSp macro="">
      <cdr:nvCxnSpPr>
        <cdr:cNvPr id="6" name="Conector recto 5">
          <a:extLst xmlns:a="http://schemas.openxmlformats.org/drawingml/2006/main">
            <a:ext uri="{FF2B5EF4-FFF2-40B4-BE49-F238E27FC236}">
              <a16:creationId xmlns:a16="http://schemas.microsoft.com/office/drawing/2014/main" id="{B3C60337-EBC7-A759-7701-EBC572BC8877}"/>
            </a:ext>
          </a:extLst>
        </cdr:cNvPr>
        <cdr:cNvCxnSpPr/>
      </cdr:nvCxnSpPr>
      <cdr:spPr>
        <a:xfrm xmlns:a="http://schemas.openxmlformats.org/drawingml/2006/main">
          <a:off x="5204970" y="608707"/>
          <a:ext cx="0" cy="1443742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0.16836</cdr:x>
      <cdr:y>0.14303</cdr:y>
    </cdr:from>
    <cdr:to>
      <cdr:x>0.28146</cdr:x>
      <cdr:y>0.21412</cdr:y>
    </cdr:to>
    <cdr:sp macro="" textlink="">
      <cdr:nvSpPr>
        <cdr:cNvPr id="7" name="CuadroTexto 14">
          <a:extLst xmlns:a="http://schemas.openxmlformats.org/drawingml/2006/main">
            <a:ext uri="{FF2B5EF4-FFF2-40B4-BE49-F238E27FC236}">
              <a16:creationId xmlns:a16="http://schemas.microsoft.com/office/drawing/2014/main" id="{9BAE012C-A661-1ECB-8BFC-99F8EEA6B2A1}"/>
            </a:ext>
          </a:extLst>
        </cdr:cNvPr>
        <cdr:cNvSpPr txBox="1"/>
      </cdr:nvSpPr>
      <cdr:spPr>
        <a:xfrm xmlns:a="http://schemas.openxmlformats.org/drawingml/2006/main">
          <a:off x="1017104" y="416615"/>
          <a:ext cx="683317" cy="20706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 b="1"/>
            <a:t>Cosecha 1</a:t>
          </a:r>
        </a:p>
      </cdr:txBody>
    </cdr:sp>
  </cdr:relSizeAnchor>
  <cdr:relSizeAnchor xmlns:cdr="http://schemas.openxmlformats.org/drawingml/2006/chartDrawing">
    <cdr:from>
      <cdr:x>0.35458</cdr:x>
      <cdr:y>0.14303</cdr:y>
    </cdr:from>
    <cdr:to>
      <cdr:x>0.46769</cdr:x>
      <cdr:y>0.21412</cdr:y>
    </cdr:to>
    <cdr:sp macro="" textlink="">
      <cdr:nvSpPr>
        <cdr:cNvPr id="8" name="CuadroTexto 15">
          <a:extLst xmlns:a="http://schemas.openxmlformats.org/drawingml/2006/main">
            <a:ext uri="{FF2B5EF4-FFF2-40B4-BE49-F238E27FC236}">
              <a16:creationId xmlns:a16="http://schemas.microsoft.com/office/drawing/2014/main" id="{E6010C26-52CA-B0E7-0F8E-69E45888462A}"/>
            </a:ext>
          </a:extLst>
        </cdr:cNvPr>
        <cdr:cNvSpPr txBox="1"/>
      </cdr:nvSpPr>
      <cdr:spPr>
        <a:xfrm xmlns:a="http://schemas.openxmlformats.org/drawingml/2006/main">
          <a:off x="2142160" y="416615"/>
          <a:ext cx="683317" cy="20706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 b="1"/>
            <a:t>Cosecha 2</a:t>
          </a:r>
        </a:p>
      </cdr:txBody>
    </cdr:sp>
  </cdr:relSizeAnchor>
  <cdr:relSizeAnchor xmlns:cdr="http://schemas.openxmlformats.org/drawingml/2006/chartDrawing">
    <cdr:from>
      <cdr:x>0.48711</cdr:x>
      <cdr:y>0.14303</cdr:y>
    </cdr:from>
    <cdr:to>
      <cdr:x>0.60022</cdr:x>
      <cdr:y>0.21412</cdr:y>
    </cdr:to>
    <cdr:sp macro="" textlink="">
      <cdr:nvSpPr>
        <cdr:cNvPr id="9" name="CuadroTexto 16">
          <a:extLst xmlns:a="http://schemas.openxmlformats.org/drawingml/2006/main">
            <a:ext uri="{FF2B5EF4-FFF2-40B4-BE49-F238E27FC236}">
              <a16:creationId xmlns:a16="http://schemas.microsoft.com/office/drawing/2014/main" id="{0E09B9AF-233B-E931-626F-529A01A1C57B}"/>
            </a:ext>
          </a:extLst>
        </cdr:cNvPr>
        <cdr:cNvSpPr txBox="1"/>
      </cdr:nvSpPr>
      <cdr:spPr>
        <a:xfrm xmlns:a="http://schemas.openxmlformats.org/drawingml/2006/main">
          <a:off x="2942812" y="416615"/>
          <a:ext cx="683317" cy="207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 b="1"/>
            <a:t>Cosecha 3</a:t>
          </a:r>
        </a:p>
      </cdr:txBody>
    </cdr:sp>
  </cdr:relSizeAnchor>
  <cdr:relSizeAnchor xmlns:cdr="http://schemas.openxmlformats.org/drawingml/2006/chartDrawing">
    <cdr:from>
      <cdr:x>0.66306</cdr:x>
      <cdr:y>0.14303</cdr:y>
    </cdr:from>
    <cdr:to>
      <cdr:x>0.77616</cdr:x>
      <cdr:y>0.21412</cdr:y>
    </cdr:to>
    <cdr:sp macro="" textlink="">
      <cdr:nvSpPr>
        <cdr:cNvPr id="10" name="CuadroTexto 17">
          <a:extLst xmlns:a="http://schemas.openxmlformats.org/drawingml/2006/main">
            <a:ext uri="{FF2B5EF4-FFF2-40B4-BE49-F238E27FC236}">
              <a16:creationId xmlns:a16="http://schemas.microsoft.com/office/drawing/2014/main" id="{4AD4A1B3-340F-4948-9119-C4CDEC2FFE4B}"/>
            </a:ext>
          </a:extLst>
        </cdr:cNvPr>
        <cdr:cNvSpPr txBox="1"/>
      </cdr:nvSpPr>
      <cdr:spPr>
        <a:xfrm xmlns:a="http://schemas.openxmlformats.org/drawingml/2006/main">
          <a:off x="4005744" y="416615"/>
          <a:ext cx="683317" cy="20706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 b="1"/>
            <a:t>Cosecha 4</a:t>
          </a:r>
        </a:p>
      </cdr:txBody>
    </cdr:sp>
  </cdr:relSizeAnchor>
  <cdr:relSizeAnchor xmlns:cdr="http://schemas.openxmlformats.org/drawingml/2006/chartDrawing">
    <cdr:from>
      <cdr:x>0.78873</cdr:x>
      <cdr:y>0.14303</cdr:y>
    </cdr:from>
    <cdr:to>
      <cdr:x>0.90184</cdr:x>
      <cdr:y>0.21412</cdr:y>
    </cdr:to>
    <cdr:sp macro="" textlink="">
      <cdr:nvSpPr>
        <cdr:cNvPr id="11" name="CuadroTexto 18">
          <a:extLst xmlns:a="http://schemas.openxmlformats.org/drawingml/2006/main">
            <a:ext uri="{FF2B5EF4-FFF2-40B4-BE49-F238E27FC236}">
              <a16:creationId xmlns:a16="http://schemas.microsoft.com/office/drawing/2014/main" id="{1452C35E-C707-E2B1-7648-CB145B190987}"/>
            </a:ext>
          </a:extLst>
        </cdr:cNvPr>
        <cdr:cNvSpPr txBox="1"/>
      </cdr:nvSpPr>
      <cdr:spPr>
        <a:xfrm xmlns:a="http://schemas.openxmlformats.org/drawingml/2006/main">
          <a:off x="4764984" y="416615"/>
          <a:ext cx="683317" cy="20706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 b="1"/>
            <a:t>Cosecha 5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0.23205</cdr:x>
      <cdr:y>0.20898</cdr:y>
    </cdr:from>
    <cdr:to>
      <cdr:x>0.23205</cdr:x>
      <cdr:y>0.70465</cdr:y>
    </cdr:to>
    <cdr:cxnSp macro="">
      <cdr:nvCxnSpPr>
        <cdr:cNvPr id="2" name="Conector recto 1">
          <a:extLst xmlns:a="http://schemas.openxmlformats.org/drawingml/2006/main">
            <a:ext uri="{FF2B5EF4-FFF2-40B4-BE49-F238E27FC236}">
              <a16:creationId xmlns:a16="http://schemas.microsoft.com/office/drawing/2014/main" id="{D5F30AFC-C6BA-8381-6C63-E7B01FDA1BD6}"/>
            </a:ext>
          </a:extLst>
        </cdr:cNvPr>
        <cdr:cNvCxnSpPr/>
      </cdr:nvCxnSpPr>
      <cdr:spPr>
        <a:xfrm xmlns:a="http://schemas.openxmlformats.org/drawingml/2006/main">
          <a:off x="1401874" y="608707"/>
          <a:ext cx="0" cy="1443742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0.42056</cdr:x>
      <cdr:y>0.20898</cdr:y>
    </cdr:from>
    <cdr:to>
      <cdr:x>0.42056</cdr:x>
      <cdr:y>0.70465</cdr:y>
    </cdr:to>
    <cdr:cxnSp macro="">
      <cdr:nvCxnSpPr>
        <cdr:cNvPr id="3" name="Conector recto 2">
          <a:extLst xmlns:a="http://schemas.openxmlformats.org/drawingml/2006/main">
            <a:ext uri="{FF2B5EF4-FFF2-40B4-BE49-F238E27FC236}">
              <a16:creationId xmlns:a16="http://schemas.microsoft.com/office/drawing/2014/main" id="{E16BB195-DF2A-A325-223F-1A3C883F257B}"/>
            </a:ext>
          </a:extLst>
        </cdr:cNvPr>
        <cdr:cNvCxnSpPr/>
      </cdr:nvCxnSpPr>
      <cdr:spPr>
        <a:xfrm xmlns:a="http://schemas.openxmlformats.org/drawingml/2006/main">
          <a:off x="2540731" y="608707"/>
          <a:ext cx="0" cy="1443742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0.55994</cdr:x>
      <cdr:y>0.20898</cdr:y>
    </cdr:from>
    <cdr:to>
      <cdr:x>0.55994</cdr:x>
      <cdr:y>0.70465</cdr:y>
    </cdr:to>
    <cdr:cxnSp macro="">
      <cdr:nvCxnSpPr>
        <cdr:cNvPr id="4" name="Conector recto 3">
          <a:extLst xmlns:a="http://schemas.openxmlformats.org/drawingml/2006/main">
            <a:ext uri="{FF2B5EF4-FFF2-40B4-BE49-F238E27FC236}">
              <a16:creationId xmlns:a16="http://schemas.microsoft.com/office/drawing/2014/main" id="{E01FDAF1-B8F6-53DC-4CB6-8C7BB54FFCE3}"/>
            </a:ext>
          </a:extLst>
        </cdr:cNvPr>
        <cdr:cNvCxnSpPr/>
      </cdr:nvCxnSpPr>
      <cdr:spPr>
        <a:xfrm xmlns:a="http://schemas.openxmlformats.org/drawingml/2006/main">
          <a:off x="3382796" y="608707"/>
          <a:ext cx="0" cy="1443742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0.7336</cdr:x>
      <cdr:y>0.20898</cdr:y>
    </cdr:from>
    <cdr:to>
      <cdr:x>0.7336</cdr:x>
      <cdr:y>0.70465</cdr:y>
    </cdr:to>
    <cdr:cxnSp macro="">
      <cdr:nvCxnSpPr>
        <cdr:cNvPr id="5" name="Conector recto 4">
          <a:extLst xmlns:a="http://schemas.openxmlformats.org/drawingml/2006/main">
            <a:ext uri="{FF2B5EF4-FFF2-40B4-BE49-F238E27FC236}">
              <a16:creationId xmlns:a16="http://schemas.microsoft.com/office/drawing/2014/main" id="{3624A393-577A-5F3E-5EAC-2887B84FA30A}"/>
            </a:ext>
          </a:extLst>
        </cdr:cNvPr>
        <cdr:cNvCxnSpPr/>
      </cdr:nvCxnSpPr>
      <cdr:spPr>
        <a:xfrm xmlns:a="http://schemas.openxmlformats.org/drawingml/2006/main">
          <a:off x="4431926" y="608707"/>
          <a:ext cx="0" cy="1443742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0.86156</cdr:x>
      <cdr:y>0.20898</cdr:y>
    </cdr:from>
    <cdr:to>
      <cdr:x>0.86156</cdr:x>
      <cdr:y>0.70465</cdr:y>
    </cdr:to>
    <cdr:cxnSp macro="">
      <cdr:nvCxnSpPr>
        <cdr:cNvPr id="6" name="Conector recto 5">
          <a:extLst xmlns:a="http://schemas.openxmlformats.org/drawingml/2006/main">
            <a:ext uri="{FF2B5EF4-FFF2-40B4-BE49-F238E27FC236}">
              <a16:creationId xmlns:a16="http://schemas.microsoft.com/office/drawing/2014/main" id="{B3C60337-EBC7-A759-7701-EBC572BC8877}"/>
            </a:ext>
          </a:extLst>
        </cdr:cNvPr>
        <cdr:cNvCxnSpPr/>
      </cdr:nvCxnSpPr>
      <cdr:spPr>
        <a:xfrm xmlns:a="http://schemas.openxmlformats.org/drawingml/2006/main">
          <a:off x="5204970" y="608707"/>
          <a:ext cx="0" cy="1443742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0.16836</cdr:x>
      <cdr:y>0.14303</cdr:y>
    </cdr:from>
    <cdr:to>
      <cdr:x>0.28146</cdr:x>
      <cdr:y>0.21412</cdr:y>
    </cdr:to>
    <cdr:sp macro="" textlink="">
      <cdr:nvSpPr>
        <cdr:cNvPr id="7" name="CuadroTexto 14">
          <a:extLst xmlns:a="http://schemas.openxmlformats.org/drawingml/2006/main">
            <a:ext uri="{FF2B5EF4-FFF2-40B4-BE49-F238E27FC236}">
              <a16:creationId xmlns:a16="http://schemas.microsoft.com/office/drawing/2014/main" id="{9BAE012C-A661-1ECB-8BFC-99F8EEA6B2A1}"/>
            </a:ext>
          </a:extLst>
        </cdr:cNvPr>
        <cdr:cNvSpPr txBox="1"/>
      </cdr:nvSpPr>
      <cdr:spPr>
        <a:xfrm xmlns:a="http://schemas.openxmlformats.org/drawingml/2006/main">
          <a:off x="1017104" y="416615"/>
          <a:ext cx="683317" cy="20706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 b="1"/>
            <a:t>Cosecha 1</a:t>
          </a:r>
        </a:p>
      </cdr:txBody>
    </cdr:sp>
  </cdr:relSizeAnchor>
  <cdr:relSizeAnchor xmlns:cdr="http://schemas.openxmlformats.org/drawingml/2006/chartDrawing">
    <cdr:from>
      <cdr:x>0.35458</cdr:x>
      <cdr:y>0.14303</cdr:y>
    </cdr:from>
    <cdr:to>
      <cdr:x>0.46769</cdr:x>
      <cdr:y>0.21412</cdr:y>
    </cdr:to>
    <cdr:sp macro="" textlink="">
      <cdr:nvSpPr>
        <cdr:cNvPr id="8" name="CuadroTexto 15">
          <a:extLst xmlns:a="http://schemas.openxmlformats.org/drawingml/2006/main">
            <a:ext uri="{FF2B5EF4-FFF2-40B4-BE49-F238E27FC236}">
              <a16:creationId xmlns:a16="http://schemas.microsoft.com/office/drawing/2014/main" id="{E6010C26-52CA-B0E7-0F8E-69E45888462A}"/>
            </a:ext>
          </a:extLst>
        </cdr:cNvPr>
        <cdr:cNvSpPr txBox="1"/>
      </cdr:nvSpPr>
      <cdr:spPr>
        <a:xfrm xmlns:a="http://schemas.openxmlformats.org/drawingml/2006/main">
          <a:off x="2142160" y="416615"/>
          <a:ext cx="683317" cy="20706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 b="1"/>
            <a:t>Cosecha 2</a:t>
          </a:r>
        </a:p>
      </cdr:txBody>
    </cdr:sp>
  </cdr:relSizeAnchor>
  <cdr:relSizeAnchor xmlns:cdr="http://schemas.openxmlformats.org/drawingml/2006/chartDrawing">
    <cdr:from>
      <cdr:x>0.48711</cdr:x>
      <cdr:y>0.14303</cdr:y>
    </cdr:from>
    <cdr:to>
      <cdr:x>0.60022</cdr:x>
      <cdr:y>0.21412</cdr:y>
    </cdr:to>
    <cdr:sp macro="" textlink="">
      <cdr:nvSpPr>
        <cdr:cNvPr id="9" name="CuadroTexto 16">
          <a:extLst xmlns:a="http://schemas.openxmlformats.org/drawingml/2006/main">
            <a:ext uri="{FF2B5EF4-FFF2-40B4-BE49-F238E27FC236}">
              <a16:creationId xmlns:a16="http://schemas.microsoft.com/office/drawing/2014/main" id="{0E09B9AF-233B-E931-626F-529A01A1C57B}"/>
            </a:ext>
          </a:extLst>
        </cdr:cNvPr>
        <cdr:cNvSpPr txBox="1"/>
      </cdr:nvSpPr>
      <cdr:spPr>
        <a:xfrm xmlns:a="http://schemas.openxmlformats.org/drawingml/2006/main">
          <a:off x="2942812" y="416615"/>
          <a:ext cx="683317" cy="207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 b="1"/>
            <a:t>Cosecha 3</a:t>
          </a:r>
        </a:p>
      </cdr:txBody>
    </cdr:sp>
  </cdr:relSizeAnchor>
  <cdr:relSizeAnchor xmlns:cdr="http://schemas.openxmlformats.org/drawingml/2006/chartDrawing">
    <cdr:from>
      <cdr:x>0.66306</cdr:x>
      <cdr:y>0.14303</cdr:y>
    </cdr:from>
    <cdr:to>
      <cdr:x>0.77616</cdr:x>
      <cdr:y>0.21412</cdr:y>
    </cdr:to>
    <cdr:sp macro="" textlink="">
      <cdr:nvSpPr>
        <cdr:cNvPr id="10" name="CuadroTexto 17">
          <a:extLst xmlns:a="http://schemas.openxmlformats.org/drawingml/2006/main">
            <a:ext uri="{FF2B5EF4-FFF2-40B4-BE49-F238E27FC236}">
              <a16:creationId xmlns:a16="http://schemas.microsoft.com/office/drawing/2014/main" id="{4AD4A1B3-340F-4948-9119-C4CDEC2FFE4B}"/>
            </a:ext>
          </a:extLst>
        </cdr:cNvPr>
        <cdr:cNvSpPr txBox="1"/>
      </cdr:nvSpPr>
      <cdr:spPr>
        <a:xfrm xmlns:a="http://schemas.openxmlformats.org/drawingml/2006/main">
          <a:off x="4005744" y="416615"/>
          <a:ext cx="683317" cy="20706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 b="1"/>
            <a:t>Cosecha 4</a:t>
          </a:r>
        </a:p>
      </cdr:txBody>
    </cdr:sp>
  </cdr:relSizeAnchor>
  <cdr:relSizeAnchor xmlns:cdr="http://schemas.openxmlformats.org/drawingml/2006/chartDrawing">
    <cdr:from>
      <cdr:x>0.78873</cdr:x>
      <cdr:y>0.14303</cdr:y>
    </cdr:from>
    <cdr:to>
      <cdr:x>0.90184</cdr:x>
      <cdr:y>0.21412</cdr:y>
    </cdr:to>
    <cdr:sp macro="" textlink="">
      <cdr:nvSpPr>
        <cdr:cNvPr id="11" name="CuadroTexto 18">
          <a:extLst xmlns:a="http://schemas.openxmlformats.org/drawingml/2006/main">
            <a:ext uri="{FF2B5EF4-FFF2-40B4-BE49-F238E27FC236}">
              <a16:creationId xmlns:a16="http://schemas.microsoft.com/office/drawing/2014/main" id="{1452C35E-C707-E2B1-7648-CB145B190987}"/>
            </a:ext>
          </a:extLst>
        </cdr:cNvPr>
        <cdr:cNvSpPr txBox="1"/>
      </cdr:nvSpPr>
      <cdr:spPr>
        <a:xfrm xmlns:a="http://schemas.openxmlformats.org/drawingml/2006/main">
          <a:off x="4764984" y="416615"/>
          <a:ext cx="683317" cy="20706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 b="1"/>
            <a:t>Cosecha 5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0.2656</cdr:x>
      <cdr:y>0.23237</cdr:y>
    </cdr:from>
    <cdr:to>
      <cdr:x>0.2656</cdr:x>
      <cdr:y>0.72803</cdr:y>
    </cdr:to>
    <cdr:cxnSp macro="">
      <cdr:nvCxnSpPr>
        <cdr:cNvPr id="12" name="Conector recto 11">
          <a:extLst xmlns:a="http://schemas.openxmlformats.org/drawingml/2006/main">
            <a:ext uri="{FF2B5EF4-FFF2-40B4-BE49-F238E27FC236}">
              <a16:creationId xmlns:a16="http://schemas.microsoft.com/office/drawing/2014/main" id="{40F580B7-5E6D-FF63-F293-3E518446F724}"/>
            </a:ext>
          </a:extLst>
        </cdr:cNvPr>
        <cdr:cNvCxnSpPr/>
      </cdr:nvCxnSpPr>
      <cdr:spPr>
        <a:xfrm xmlns:a="http://schemas.openxmlformats.org/drawingml/2006/main">
          <a:off x="1594890" y="669224"/>
          <a:ext cx="0" cy="142750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0.45829</cdr:x>
      <cdr:y>0.23867</cdr:y>
    </cdr:from>
    <cdr:to>
      <cdr:x>0.45829</cdr:x>
      <cdr:y>0.73433</cdr:y>
    </cdr:to>
    <cdr:cxnSp macro="">
      <cdr:nvCxnSpPr>
        <cdr:cNvPr id="13" name="Conector recto 12">
          <a:extLst xmlns:a="http://schemas.openxmlformats.org/drawingml/2006/main">
            <a:ext uri="{FF2B5EF4-FFF2-40B4-BE49-F238E27FC236}">
              <a16:creationId xmlns:a16="http://schemas.microsoft.com/office/drawing/2014/main" id="{CCD9FC05-F42C-9E6D-6F4B-6F8FE558ACF5}"/>
            </a:ext>
          </a:extLst>
        </cdr:cNvPr>
        <cdr:cNvCxnSpPr/>
      </cdr:nvCxnSpPr>
      <cdr:spPr>
        <a:xfrm xmlns:a="http://schemas.openxmlformats.org/drawingml/2006/main">
          <a:off x="2751955" y="687369"/>
          <a:ext cx="0" cy="142750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0.60157</cdr:x>
      <cdr:y>0.23237</cdr:y>
    </cdr:from>
    <cdr:to>
      <cdr:x>0.60157</cdr:x>
      <cdr:y>0.72803</cdr:y>
    </cdr:to>
    <cdr:cxnSp macro="">
      <cdr:nvCxnSpPr>
        <cdr:cNvPr id="14" name="Conector recto 13">
          <a:extLst xmlns:a="http://schemas.openxmlformats.org/drawingml/2006/main">
            <a:ext uri="{FF2B5EF4-FFF2-40B4-BE49-F238E27FC236}">
              <a16:creationId xmlns:a16="http://schemas.microsoft.com/office/drawing/2014/main" id="{82D519D4-EAE2-947D-1880-B895877EA8BC}"/>
            </a:ext>
          </a:extLst>
        </cdr:cNvPr>
        <cdr:cNvCxnSpPr/>
      </cdr:nvCxnSpPr>
      <cdr:spPr>
        <a:xfrm xmlns:a="http://schemas.openxmlformats.org/drawingml/2006/main">
          <a:off x="3612294" y="669226"/>
          <a:ext cx="0" cy="142750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0.74155</cdr:x>
      <cdr:y>0.23552</cdr:y>
    </cdr:from>
    <cdr:to>
      <cdr:x>0.74155</cdr:x>
      <cdr:y>0.73118</cdr:y>
    </cdr:to>
    <cdr:cxnSp macro="">
      <cdr:nvCxnSpPr>
        <cdr:cNvPr id="15" name="Conector recto 14">
          <a:extLst xmlns:a="http://schemas.openxmlformats.org/drawingml/2006/main">
            <a:ext uri="{FF2B5EF4-FFF2-40B4-BE49-F238E27FC236}">
              <a16:creationId xmlns:a16="http://schemas.microsoft.com/office/drawing/2014/main" id="{D4478E04-03A5-DD0F-84A8-0BE6F380FE1C}"/>
            </a:ext>
          </a:extLst>
        </cdr:cNvPr>
        <cdr:cNvCxnSpPr/>
      </cdr:nvCxnSpPr>
      <cdr:spPr>
        <a:xfrm xmlns:a="http://schemas.openxmlformats.org/drawingml/2006/main">
          <a:off x="4452854" y="678298"/>
          <a:ext cx="0" cy="142750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0.88541</cdr:x>
      <cdr:y>0.23552</cdr:y>
    </cdr:from>
    <cdr:to>
      <cdr:x>0.88541</cdr:x>
      <cdr:y>0.73118</cdr:y>
    </cdr:to>
    <cdr:cxnSp macro="">
      <cdr:nvCxnSpPr>
        <cdr:cNvPr id="16" name="Conector recto 15">
          <a:extLst xmlns:a="http://schemas.openxmlformats.org/drawingml/2006/main">
            <a:ext uri="{FF2B5EF4-FFF2-40B4-BE49-F238E27FC236}">
              <a16:creationId xmlns:a16="http://schemas.microsoft.com/office/drawing/2014/main" id="{D4E7C359-CE78-82E0-BB43-47DEB883119B}"/>
            </a:ext>
          </a:extLst>
        </cdr:cNvPr>
        <cdr:cNvCxnSpPr/>
      </cdr:nvCxnSpPr>
      <cdr:spPr>
        <a:xfrm xmlns:a="http://schemas.openxmlformats.org/drawingml/2006/main">
          <a:off x="5316701" y="678298"/>
          <a:ext cx="0" cy="142750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0.20533</cdr:x>
      <cdr:y>0.15178</cdr:y>
    </cdr:from>
    <cdr:to>
      <cdr:x>0.31914</cdr:x>
      <cdr:y>0.22287</cdr:y>
    </cdr:to>
    <cdr:sp macro="" textlink="">
      <cdr:nvSpPr>
        <cdr:cNvPr id="17" name="CuadroTexto 14">
          <a:extLst xmlns:a="http://schemas.openxmlformats.org/drawingml/2006/main">
            <a:ext uri="{FF2B5EF4-FFF2-40B4-BE49-F238E27FC236}">
              <a16:creationId xmlns:a16="http://schemas.microsoft.com/office/drawing/2014/main" id="{61F08CCC-364E-E394-E4F6-AC0193916D6A}"/>
            </a:ext>
          </a:extLst>
        </cdr:cNvPr>
        <cdr:cNvSpPr txBox="1"/>
      </cdr:nvSpPr>
      <cdr:spPr>
        <a:xfrm xmlns:a="http://schemas.openxmlformats.org/drawingml/2006/main">
          <a:off x="1233672" y="430148"/>
          <a:ext cx="683797" cy="2014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 b="1"/>
            <a:t>Cosecha 1</a:t>
          </a:r>
        </a:p>
      </cdr:txBody>
    </cdr:sp>
  </cdr:relSizeAnchor>
  <cdr:relSizeAnchor xmlns:cdr="http://schemas.openxmlformats.org/drawingml/2006/chartDrawing">
    <cdr:from>
      <cdr:x>0.39971</cdr:x>
      <cdr:y>0.15454</cdr:y>
    </cdr:from>
    <cdr:to>
      <cdr:x>0.51352</cdr:x>
      <cdr:y>0.22563</cdr:y>
    </cdr:to>
    <cdr:sp macro="" textlink="">
      <cdr:nvSpPr>
        <cdr:cNvPr id="18" name="CuadroTexto 15">
          <a:extLst xmlns:a="http://schemas.openxmlformats.org/drawingml/2006/main">
            <a:ext uri="{FF2B5EF4-FFF2-40B4-BE49-F238E27FC236}">
              <a16:creationId xmlns:a16="http://schemas.microsoft.com/office/drawing/2014/main" id="{25851BF0-7100-54A4-AC7F-FAAA11D05613}"/>
            </a:ext>
          </a:extLst>
        </cdr:cNvPr>
        <cdr:cNvSpPr txBox="1"/>
      </cdr:nvSpPr>
      <cdr:spPr>
        <a:xfrm xmlns:a="http://schemas.openxmlformats.org/drawingml/2006/main">
          <a:off x="2401530" y="437990"/>
          <a:ext cx="683797" cy="2014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 b="1"/>
            <a:t>Cosecha 2</a:t>
          </a:r>
        </a:p>
      </cdr:txBody>
    </cdr:sp>
  </cdr:relSizeAnchor>
  <cdr:relSizeAnchor xmlns:cdr="http://schemas.openxmlformats.org/drawingml/2006/chartDrawing">
    <cdr:from>
      <cdr:x>0.54006</cdr:x>
      <cdr:y>0.15593</cdr:y>
    </cdr:from>
    <cdr:to>
      <cdr:x>0.65387</cdr:x>
      <cdr:y>0.22702</cdr:y>
    </cdr:to>
    <cdr:sp macro="" textlink="">
      <cdr:nvSpPr>
        <cdr:cNvPr id="19" name="CuadroTexto 16">
          <a:extLst xmlns:a="http://schemas.openxmlformats.org/drawingml/2006/main">
            <a:ext uri="{FF2B5EF4-FFF2-40B4-BE49-F238E27FC236}">
              <a16:creationId xmlns:a16="http://schemas.microsoft.com/office/drawing/2014/main" id="{658B83EA-2F4D-741B-1EA5-476CA68F2932}"/>
            </a:ext>
          </a:extLst>
        </cdr:cNvPr>
        <cdr:cNvSpPr txBox="1"/>
      </cdr:nvSpPr>
      <cdr:spPr>
        <a:xfrm xmlns:a="http://schemas.openxmlformats.org/drawingml/2006/main">
          <a:off x="3244794" y="441911"/>
          <a:ext cx="683736" cy="2014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 b="1"/>
            <a:t>Cosecha 3</a:t>
          </a:r>
        </a:p>
      </cdr:txBody>
    </cdr:sp>
  </cdr:relSizeAnchor>
  <cdr:relSizeAnchor xmlns:cdr="http://schemas.openxmlformats.org/drawingml/2006/chartDrawing">
    <cdr:from>
      <cdr:x>0.67664</cdr:x>
      <cdr:y>0.15316</cdr:y>
    </cdr:from>
    <cdr:to>
      <cdr:x>0.79045</cdr:x>
      <cdr:y>0.22425</cdr:y>
    </cdr:to>
    <cdr:sp macro="" textlink="">
      <cdr:nvSpPr>
        <cdr:cNvPr id="20" name="CuadroTexto 17">
          <a:extLst xmlns:a="http://schemas.openxmlformats.org/drawingml/2006/main">
            <a:ext uri="{FF2B5EF4-FFF2-40B4-BE49-F238E27FC236}">
              <a16:creationId xmlns:a16="http://schemas.microsoft.com/office/drawing/2014/main" id="{09528816-1923-D43D-BF4F-465AA0DD70E4}"/>
            </a:ext>
          </a:extLst>
        </cdr:cNvPr>
        <cdr:cNvSpPr txBox="1"/>
      </cdr:nvSpPr>
      <cdr:spPr>
        <a:xfrm xmlns:a="http://schemas.openxmlformats.org/drawingml/2006/main">
          <a:off x="4065379" y="434069"/>
          <a:ext cx="683796" cy="2014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 b="1"/>
            <a:t>Cosecha 4</a:t>
          </a:r>
        </a:p>
      </cdr:txBody>
    </cdr:sp>
  </cdr:relSizeAnchor>
  <cdr:relSizeAnchor xmlns:cdr="http://schemas.openxmlformats.org/drawingml/2006/chartDrawing">
    <cdr:from>
      <cdr:x>0.80529</cdr:x>
      <cdr:y>0.15731</cdr:y>
    </cdr:from>
    <cdr:to>
      <cdr:x>0.9191</cdr:x>
      <cdr:y>0.2284</cdr:y>
    </cdr:to>
    <cdr:sp macro="" textlink="">
      <cdr:nvSpPr>
        <cdr:cNvPr id="21" name="CuadroTexto 18">
          <a:extLst xmlns:a="http://schemas.openxmlformats.org/drawingml/2006/main">
            <a:ext uri="{FF2B5EF4-FFF2-40B4-BE49-F238E27FC236}">
              <a16:creationId xmlns:a16="http://schemas.microsoft.com/office/drawing/2014/main" id="{61B0838B-94B5-38FC-42A7-D2FB6F5C251E}"/>
            </a:ext>
          </a:extLst>
        </cdr:cNvPr>
        <cdr:cNvSpPr txBox="1"/>
      </cdr:nvSpPr>
      <cdr:spPr>
        <a:xfrm xmlns:a="http://schemas.openxmlformats.org/drawingml/2006/main">
          <a:off x="4838314" y="445831"/>
          <a:ext cx="683796" cy="2014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 b="1"/>
            <a:t>Cosecha 5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0.21121</cdr:x>
      <cdr:y>0.21287</cdr:y>
    </cdr:from>
    <cdr:to>
      <cdr:x>0.21121</cdr:x>
      <cdr:y>0.70853</cdr:y>
    </cdr:to>
    <cdr:cxnSp macro="">
      <cdr:nvCxnSpPr>
        <cdr:cNvPr id="2" name="Conector recto 1">
          <a:extLst xmlns:a="http://schemas.openxmlformats.org/drawingml/2006/main">
            <a:ext uri="{FF2B5EF4-FFF2-40B4-BE49-F238E27FC236}">
              <a16:creationId xmlns:a16="http://schemas.microsoft.com/office/drawing/2014/main" id="{50524F92-3240-DD69-113E-B5821CBDB9E9}"/>
            </a:ext>
          </a:extLst>
        </cdr:cNvPr>
        <cdr:cNvCxnSpPr/>
      </cdr:nvCxnSpPr>
      <cdr:spPr>
        <a:xfrm xmlns:a="http://schemas.openxmlformats.org/drawingml/2006/main">
          <a:off x="1268248" y="620027"/>
          <a:ext cx="0" cy="1443742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0.40086</cdr:x>
      <cdr:y>0.21287</cdr:y>
    </cdr:from>
    <cdr:to>
      <cdr:x>0.40086</cdr:x>
      <cdr:y>0.70853</cdr:y>
    </cdr:to>
    <cdr:cxnSp macro="">
      <cdr:nvCxnSpPr>
        <cdr:cNvPr id="3" name="Conector recto 2">
          <a:extLst xmlns:a="http://schemas.openxmlformats.org/drawingml/2006/main">
            <a:ext uri="{FF2B5EF4-FFF2-40B4-BE49-F238E27FC236}">
              <a16:creationId xmlns:a16="http://schemas.microsoft.com/office/drawing/2014/main" id="{D7CC570E-7700-111A-3387-C3E3493B4310}"/>
            </a:ext>
          </a:extLst>
        </cdr:cNvPr>
        <cdr:cNvCxnSpPr/>
      </cdr:nvCxnSpPr>
      <cdr:spPr>
        <a:xfrm xmlns:a="http://schemas.openxmlformats.org/drawingml/2006/main">
          <a:off x="2407105" y="620027"/>
          <a:ext cx="0" cy="1443742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0.5411</cdr:x>
      <cdr:y>0.21287</cdr:y>
    </cdr:from>
    <cdr:to>
      <cdr:x>0.5411</cdr:x>
      <cdr:y>0.70853</cdr:y>
    </cdr:to>
    <cdr:cxnSp macro="">
      <cdr:nvCxnSpPr>
        <cdr:cNvPr id="4" name="Conector recto 3">
          <a:extLst xmlns:a="http://schemas.openxmlformats.org/drawingml/2006/main">
            <a:ext uri="{FF2B5EF4-FFF2-40B4-BE49-F238E27FC236}">
              <a16:creationId xmlns:a16="http://schemas.microsoft.com/office/drawing/2014/main" id="{ECBA9289-0BE2-283B-AEA6-4747376FE681}"/>
            </a:ext>
          </a:extLst>
        </cdr:cNvPr>
        <cdr:cNvCxnSpPr/>
      </cdr:nvCxnSpPr>
      <cdr:spPr>
        <a:xfrm xmlns:a="http://schemas.openxmlformats.org/drawingml/2006/main">
          <a:off x="3249170" y="620027"/>
          <a:ext cx="0" cy="1443742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0.71581</cdr:x>
      <cdr:y>0.21287</cdr:y>
    </cdr:from>
    <cdr:to>
      <cdr:x>0.71581</cdr:x>
      <cdr:y>0.70853</cdr:y>
    </cdr:to>
    <cdr:cxnSp macro="">
      <cdr:nvCxnSpPr>
        <cdr:cNvPr id="5" name="Conector recto 4">
          <a:extLst xmlns:a="http://schemas.openxmlformats.org/drawingml/2006/main">
            <a:ext uri="{FF2B5EF4-FFF2-40B4-BE49-F238E27FC236}">
              <a16:creationId xmlns:a16="http://schemas.microsoft.com/office/drawing/2014/main" id="{B147295A-A47A-04BC-EB95-28D87505E085}"/>
            </a:ext>
          </a:extLst>
        </cdr:cNvPr>
        <cdr:cNvCxnSpPr/>
      </cdr:nvCxnSpPr>
      <cdr:spPr>
        <a:xfrm xmlns:a="http://schemas.openxmlformats.org/drawingml/2006/main">
          <a:off x="4298300" y="620027"/>
          <a:ext cx="0" cy="1443742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0.84455</cdr:x>
      <cdr:y>0.21287</cdr:y>
    </cdr:from>
    <cdr:to>
      <cdr:x>0.84455</cdr:x>
      <cdr:y>0.70853</cdr:y>
    </cdr:to>
    <cdr:cxnSp macro="">
      <cdr:nvCxnSpPr>
        <cdr:cNvPr id="6" name="Conector recto 5">
          <a:extLst xmlns:a="http://schemas.openxmlformats.org/drawingml/2006/main">
            <a:ext uri="{FF2B5EF4-FFF2-40B4-BE49-F238E27FC236}">
              <a16:creationId xmlns:a16="http://schemas.microsoft.com/office/drawing/2014/main" id="{82A97899-D869-A709-40EC-8CB09F347B62}"/>
            </a:ext>
          </a:extLst>
        </cdr:cNvPr>
        <cdr:cNvCxnSpPr/>
      </cdr:nvCxnSpPr>
      <cdr:spPr>
        <a:xfrm xmlns:a="http://schemas.openxmlformats.org/drawingml/2006/main">
          <a:off x="5071344" y="620027"/>
          <a:ext cx="0" cy="1443742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0.16708</cdr:x>
      <cdr:y>0.14303</cdr:y>
    </cdr:from>
    <cdr:to>
      <cdr:x>0.28088</cdr:x>
      <cdr:y>0.21412</cdr:y>
    </cdr:to>
    <cdr:sp macro="" textlink="">
      <cdr:nvSpPr>
        <cdr:cNvPr id="7" name="CuadroTexto 14">
          <a:extLst xmlns:a="http://schemas.openxmlformats.org/drawingml/2006/main">
            <a:ext uri="{FF2B5EF4-FFF2-40B4-BE49-F238E27FC236}">
              <a16:creationId xmlns:a16="http://schemas.microsoft.com/office/drawing/2014/main" id="{5FB86537-58F8-F967-4072-4490D1C268B1}"/>
            </a:ext>
          </a:extLst>
        </cdr:cNvPr>
        <cdr:cNvSpPr txBox="1"/>
      </cdr:nvSpPr>
      <cdr:spPr>
        <a:xfrm xmlns:a="http://schemas.openxmlformats.org/drawingml/2006/main">
          <a:off x="1003300" y="416615"/>
          <a:ext cx="683317" cy="20706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 b="1"/>
            <a:t>Cosecha 1</a:t>
          </a:r>
        </a:p>
      </cdr:txBody>
    </cdr:sp>
  </cdr:relSizeAnchor>
  <cdr:relSizeAnchor xmlns:cdr="http://schemas.openxmlformats.org/drawingml/2006/chartDrawing">
    <cdr:from>
      <cdr:x>0.35444</cdr:x>
      <cdr:y>0.14303</cdr:y>
    </cdr:from>
    <cdr:to>
      <cdr:x>0.46824</cdr:x>
      <cdr:y>0.21412</cdr:y>
    </cdr:to>
    <cdr:sp macro="" textlink="">
      <cdr:nvSpPr>
        <cdr:cNvPr id="8" name="CuadroTexto 15">
          <a:extLst xmlns:a="http://schemas.openxmlformats.org/drawingml/2006/main">
            <a:ext uri="{FF2B5EF4-FFF2-40B4-BE49-F238E27FC236}">
              <a16:creationId xmlns:a16="http://schemas.microsoft.com/office/drawing/2014/main" id="{DA19A1A5-3F93-195F-F91C-AE0E6DAE36BC}"/>
            </a:ext>
          </a:extLst>
        </cdr:cNvPr>
        <cdr:cNvSpPr txBox="1"/>
      </cdr:nvSpPr>
      <cdr:spPr>
        <a:xfrm xmlns:a="http://schemas.openxmlformats.org/drawingml/2006/main">
          <a:off x="2128356" y="416615"/>
          <a:ext cx="683317" cy="20706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 b="1"/>
            <a:t>Cosecha 2</a:t>
          </a:r>
        </a:p>
      </cdr:txBody>
    </cdr:sp>
  </cdr:relSizeAnchor>
  <cdr:relSizeAnchor xmlns:cdr="http://schemas.openxmlformats.org/drawingml/2006/chartDrawing">
    <cdr:from>
      <cdr:x>0.48778</cdr:x>
      <cdr:y>0.14303</cdr:y>
    </cdr:from>
    <cdr:to>
      <cdr:x>0.60157</cdr:x>
      <cdr:y>0.21412</cdr:y>
    </cdr:to>
    <cdr:sp macro="" textlink="">
      <cdr:nvSpPr>
        <cdr:cNvPr id="9" name="CuadroTexto 16">
          <a:extLst xmlns:a="http://schemas.openxmlformats.org/drawingml/2006/main">
            <a:ext uri="{FF2B5EF4-FFF2-40B4-BE49-F238E27FC236}">
              <a16:creationId xmlns:a16="http://schemas.microsoft.com/office/drawing/2014/main" id="{6E12C381-B14B-E1A4-DB0E-4A8B71A92F5B}"/>
            </a:ext>
          </a:extLst>
        </cdr:cNvPr>
        <cdr:cNvSpPr txBox="1"/>
      </cdr:nvSpPr>
      <cdr:spPr>
        <a:xfrm xmlns:a="http://schemas.openxmlformats.org/drawingml/2006/main">
          <a:off x="2929008" y="416615"/>
          <a:ext cx="683317" cy="207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 b="1"/>
            <a:t>Cosecha 3</a:t>
          </a:r>
        </a:p>
      </cdr:txBody>
    </cdr:sp>
  </cdr:relSizeAnchor>
  <cdr:relSizeAnchor xmlns:cdr="http://schemas.openxmlformats.org/drawingml/2006/chartDrawing">
    <cdr:from>
      <cdr:x>0.66479</cdr:x>
      <cdr:y>0.14303</cdr:y>
    </cdr:from>
    <cdr:to>
      <cdr:x>0.77859</cdr:x>
      <cdr:y>0.21412</cdr:y>
    </cdr:to>
    <cdr:sp macro="" textlink="">
      <cdr:nvSpPr>
        <cdr:cNvPr id="10" name="CuadroTexto 17">
          <a:extLst xmlns:a="http://schemas.openxmlformats.org/drawingml/2006/main">
            <a:ext uri="{FF2B5EF4-FFF2-40B4-BE49-F238E27FC236}">
              <a16:creationId xmlns:a16="http://schemas.microsoft.com/office/drawing/2014/main" id="{841ED1C2-C212-2399-74C2-53FBCAAB9E95}"/>
            </a:ext>
          </a:extLst>
        </cdr:cNvPr>
        <cdr:cNvSpPr txBox="1"/>
      </cdr:nvSpPr>
      <cdr:spPr>
        <a:xfrm xmlns:a="http://schemas.openxmlformats.org/drawingml/2006/main">
          <a:off x="3991940" y="416615"/>
          <a:ext cx="683317" cy="20706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 b="1"/>
            <a:t>Cosecha 4</a:t>
          </a:r>
        </a:p>
      </cdr:txBody>
    </cdr:sp>
  </cdr:relSizeAnchor>
  <cdr:relSizeAnchor xmlns:cdr="http://schemas.openxmlformats.org/drawingml/2006/chartDrawing">
    <cdr:from>
      <cdr:x>0.79123</cdr:x>
      <cdr:y>0.14303</cdr:y>
    </cdr:from>
    <cdr:to>
      <cdr:x>0.90503</cdr:x>
      <cdr:y>0.21412</cdr:y>
    </cdr:to>
    <cdr:sp macro="" textlink="">
      <cdr:nvSpPr>
        <cdr:cNvPr id="11" name="CuadroTexto 18">
          <a:extLst xmlns:a="http://schemas.openxmlformats.org/drawingml/2006/main">
            <a:ext uri="{FF2B5EF4-FFF2-40B4-BE49-F238E27FC236}">
              <a16:creationId xmlns:a16="http://schemas.microsoft.com/office/drawing/2014/main" id="{CD1BF693-4324-F6C2-5D65-15AD20A8553F}"/>
            </a:ext>
          </a:extLst>
        </cdr:cNvPr>
        <cdr:cNvSpPr txBox="1"/>
      </cdr:nvSpPr>
      <cdr:spPr>
        <a:xfrm xmlns:a="http://schemas.openxmlformats.org/drawingml/2006/main">
          <a:off x="4751180" y="416615"/>
          <a:ext cx="683317" cy="20706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 b="1"/>
            <a:t>Cosecha 5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ED497-1E3A-415C-A3E0-27C2013B1536}">
  <dimension ref="A1:AX92"/>
  <sheetViews>
    <sheetView tabSelected="1" zoomScale="50" zoomScaleNormal="70" workbookViewId="0">
      <selection activeCell="AF9" sqref="AF9"/>
    </sheetView>
  </sheetViews>
  <sheetFormatPr baseColWidth="10" defaultColWidth="9.1796875" defaultRowHeight="14.5" x14ac:dyDescent="0.35"/>
  <cols>
    <col min="1" max="1" width="7.453125" customWidth="1"/>
    <col min="2" max="2" width="14.26953125" customWidth="1"/>
    <col min="3" max="3" width="9.7265625" customWidth="1"/>
    <col min="4" max="4" width="15.81640625" customWidth="1"/>
    <col min="5" max="5" width="12.1796875" customWidth="1"/>
    <col min="6" max="6" width="13.453125" customWidth="1"/>
    <col min="7" max="7" width="14.36328125" customWidth="1"/>
    <col min="8" max="8" width="12.7265625" bestFit="1" customWidth="1"/>
    <col min="9" max="9" width="13.453125" bestFit="1" customWidth="1"/>
    <col min="10" max="10" width="16" customWidth="1"/>
    <col min="11" max="11" width="10.81640625" customWidth="1"/>
    <col min="13" max="13" width="10.54296875" customWidth="1"/>
    <col min="14" max="14" width="10.81640625" customWidth="1"/>
    <col min="15" max="15" width="11.26953125" customWidth="1"/>
    <col min="16" max="16" width="10.1796875" customWidth="1"/>
    <col min="17" max="17" width="11.26953125" customWidth="1"/>
    <col min="18" max="18" width="12.453125" customWidth="1"/>
    <col min="19" max="19" width="14.1796875" customWidth="1"/>
    <col min="20" max="20" width="12" customWidth="1"/>
    <col min="21" max="21" width="12.36328125" customWidth="1"/>
    <col min="22" max="22" width="13.36328125" customWidth="1"/>
    <col min="25" max="25" width="16.453125" customWidth="1"/>
    <col min="26" max="26" width="18.26953125" customWidth="1"/>
    <col min="29" max="29" width="22.7265625" customWidth="1"/>
    <col min="30" max="30" width="11.453125" customWidth="1"/>
    <col min="31" max="31" width="17.26953125" customWidth="1"/>
    <col min="32" max="32" width="16.54296875" customWidth="1"/>
    <col min="33" max="33" width="23.08984375" customWidth="1"/>
    <col min="34" max="34" width="22.36328125" customWidth="1"/>
    <col min="35" max="35" width="16.26953125" customWidth="1"/>
    <col min="36" max="36" width="16.36328125" customWidth="1"/>
    <col min="37" max="37" width="13.453125" customWidth="1"/>
    <col min="38" max="38" width="20.54296875" customWidth="1"/>
    <col min="39" max="39" width="16.453125" customWidth="1"/>
    <col min="40" max="40" width="19.1796875" customWidth="1"/>
    <col min="41" max="41" width="22.36328125" customWidth="1"/>
    <col min="42" max="42" width="16.26953125" customWidth="1"/>
    <col min="43" max="43" width="20.08984375" customWidth="1"/>
    <col min="44" max="44" width="17.7265625" customWidth="1"/>
    <col min="45" max="45" width="15.54296875" customWidth="1"/>
    <col min="46" max="46" width="13" customWidth="1"/>
    <col min="47" max="47" width="14.7265625" customWidth="1"/>
    <col min="48" max="48" width="18.7265625" customWidth="1"/>
    <col min="49" max="49" width="9.6328125" bestFit="1" customWidth="1"/>
    <col min="51" max="51" width="10.453125" customWidth="1"/>
    <col min="52" max="52" width="16.08984375" customWidth="1"/>
    <col min="53" max="53" width="19.54296875" customWidth="1"/>
  </cols>
  <sheetData>
    <row r="1" spans="1:50" ht="15.75" customHeight="1" thickBot="1" x14ac:dyDescent="0.4">
      <c r="A1" s="250" t="s">
        <v>60</v>
      </c>
      <c r="B1" s="251"/>
      <c r="C1" s="251"/>
      <c r="D1" s="252"/>
      <c r="E1" s="207"/>
      <c r="F1" s="207"/>
      <c r="G1" s="207"/>
      <c r="H1" s="207"/>
      <c r="I1" s="207"/>
      <c r="J1" s="207"/>
      <c r="K1" s="207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50" ht="15" thickBot="1" x14ac:dyDescent="0.4">
      <c r="A2" s="253"/>
      <c r="B2" s="254"/>
      <c r="C2" s="254"/>
      <c r="D2" s="255"/>
      <c r="E2" s="12"/>
      <c r="F2" s="13"/>
      <c r="G2" s="13"/>
      <c r="H2" s="256" t="s">
        <v>14</v>
      </c>
      <c r="I2" s="257"/>
      <c r="J2" s="257"/>
      <c r="K2" s="257"/>
      <c r="L2" s="257"/>
      <c r="M2" s="258"/>
      <c r="N2" s="247" t="s">
        <v>17</v>
      </c>
      <c r="O2" s="248"/>
      <c r="P2" s="248"/>
      <c r="Q2" s="249"/>
      <c r="R2" s="12"/>
      <c r="S2" s="12"/>
      <c r="T2" s="12"/>
      <c r="U2" s="12"/>
      <c r="V2" s="12"/>
      <c r="AO2" s="144" t="s">
        <v>116</v>
      </c>
    </row>
    <row r="3" spans="1:50" ht="18" customHeight="1" thickBot="1" x14ac:dyDescent="0.45">
      <c r="A3" s="179" t="s">
        <v>0</v>
      </c>
      <c r="B3" s="190" t="s">
        <v>1</v>
      </c>
      <c r="C3" s="179" t="s">
        <v>2</v>
      </c>
      <c r="D3" s="181" t="s">
        <v>12</v>
      </c>
      <c r="E3" s="179" t="s">
        <v>11</v>
      </c>
      <c r="F3" s="259" t="s">
        <v>57</v>
      </c>
      <c r="G3" s="181" t="s">
        <v>3</v>
      </c>
      <c r="H3" s="179" t="s">
        <v>4</v>
      </c>
      <c r="I3" s="183" t="s">
        <v>5</v>
      </c>
      <c r="J3" s="190" t="s">
        <v>6</v>
      </c>
      <c r="K3" s="179" t="s">
        <v>7</v>
      </c>
      <c r="L3" s="190" t="s">
        <v>8</v>
      </c>
      <c r="M3" s="179" t="s">
        <v>9</v>
      </c>
      <c r="N3" s="181" t="s">
        <v>36</v>
      </c>
      <c r="O3" s="190" t="s">
        <v>37</v>
      </c>
      <c r="P3" s="190" t="s">
        <v>10</v>
      </c>
      <c r="Q3" s="183" t="s">
        <v>59</v>
      </c>
      <c r="R3" s="217" t="s">
        <v>16</v>
      </c>
      <c r="S3" s="217" t="s">
        <v>62</v>
      </c>
      <c r="T3" s="217" t="s">
        <v>63</v>
      </c>
      <c r="U3" s="217" t="s">
        <v>64</v>
      </c>
      <c r="V3" s="217" t="s">
        <v>61</v>
      </c>
      <c r="W3" s="219" t="s">
        <v>13</v>
      </c>
      <c r="X3" s="220"/>
      <c r="Y3" s="220"/>
      <c r="Z3" s="220"/>
      <c r="AA3" s="220"/>
      <c r="AB3" s="220"/>
      <c r="AC3" s="220"/>
      <c r="AD3" s="221"/>
      <c r="AG3" s="225" t="s">
        <v>69</v>
      </c>
      <c r="AH3" s="226"/>
      <c r="AI3" s="226"/>
      <c r="AJ3" s="226"/>
      <c r="AK3" s="227"/>
      <c r="AM3" s="232" t="s">
        <v>26</v>
      </c>
      <c r="AN3" s="233"/>
      <c r="AO3" s="236" t="s">
        <v>56</v>
      </c>
      <c r="AP3" s="237"/>
      <c r="AQ3" s="238"/>
      <c r="AX3" s="24"/>
    </row>
    <row r="4" spans="1:50" ht="15.75" customHeight="1" thickBot="1" x14ac:dyDescent="0.4">
      <c r="A4" s="180"/>
      <c r="B4" s="191"/>
      <c r="C4" s="180"/>
      <c r="D4" s="182"/>
      <c r="E4" s="180"/>
      <c r="F4" s="180"/>
      <c r="G4" s="182"/>
      <c r="H4" s="260"/>
      <c r="I4" s="261"/>
      <c r="J4" s="262"/>
      <c r="K4" s="260"/>
      <c r="L4" s="262"/>
      <c r="M4" s="260"/>
      <c r="N4" s="182"/>
      <c r="O4" s="191"/>
      <c r="P4" s="191"/>
      <c r="Q4" s="184"/>
      <c r="R4" s="218"/>
      <c r="S4" s="218"/>
      <c r="T4" s="218"/>
      <c r="U4" s="218"/>
      <c r="V4" s="218"/>
      <c r="W4" s="222"/>
      <c r="X4" s="223"/>
      <c r="Y4" s="223"/>
      <c r="Z4" s="223"/>
      <c r="AA4" s="223"/>
      <c r="AB4" s="223"/>
      <c r="AC4" s="223"/>
      <c r="AD4" s="224"/>
      <c r="AG4" s="245" t="s">
        <v>18</v>
      </c>
      <c r="AH4" s="229"/>
      <c r="AI4" s="15">
        <v>3.5</v>
      </c>
      <c r="AJ4" s="228" t="s">
        <v>22</v>
      </c>
      <c r="AK4" s="229"/>
      <c r="AM4" s="234"/>
      <c r="AN4" s="235"/>
      <c r="AO4" s="239"/>
      <c r="AP4" s="240"/>
      <c r="AQ4" s="241"/>
      <c r="AX4" s="24"/>
    </row>
    <row r="5" spans="1:50" ht="15.75" customHeight="1" x14ac:dyDescent="0.35">
      <c r="A5" s="40">
        <v>0</v>
      </c>
      <c r="B5" s="63">
        <v>45852</v>
      </c>
      <c r="C5" s="64">
        <v>0.72916666666666663</v>
      </c>
      <c r="D5" s="65">
        <v>1</v>
      </c>
      <c r="E5" s="65">
        <v>1</v>
      </c>
      <c r="F5" s="69">
        <v>30</v>
      </c>
      <c r="G5" s="15">
        <v>14000</v>
      </c>
      <c r="H5" s="14">
        <v>2.5299999999999998</v>
      </c>
      <c r="I5" s="15">
        <v>0</v>
      </c>
      <c r="J5" s="15">
        <v>5.98</v>
      </c>
      <c r="K5" s="15">
        <v>0.188</v>
      </c>
      <c r="L5" s="74">
        <v>28</v>
      </c>
      <c r="M5" s="74">
        <v>136</v>
      </c>
      <c r="N5" s="69">
        <v>7.26</v>
      </c>
      <c r="O5" s="78">
        <v>69</v>
      </c>
      <c r="P5" s="15">
        <v>36</v>
      </c>
      <c r="Q5" s="15">
        <v>200</v>
      </c>
      <c r="R5" s="58" t="s">
        <v>58</v>
      </c>
      <c r="S5" s="57">
        <v>0</v>
      </c>
      <c r="T5" s="80">
        <v>0</v>
      </c>
      <c r="U5" s="85">
        <v>0</v>
      </c>
      <c r="V5" s="90">
        <v>9560000</v>
      </c>
      <c r="W5" s="228" t="s">
        <v>48</v>
      </c>
      <c r="X5" s="228"/>
      <c r="Y5" s="228"/>
      <c r="Z5" s="228"/>
      <c r="AA5" s="228"/>
      <c r="AB5" s="228"/>
      <c r="AC5" s="228"/>
      <c r="AD5" s="229"/>
      <c r="AE5" s="230"/>
      <c r="AF5" s="230"/>
      <c r="AG5" s="231" t="s">
        <v>19</v>
      </c>
      <c r="AH5" s="208"/>
      <c r="AI5" s="45">
        <v>6.48</v>
      </c>
      <c r="AJ5" s="207" t="s">
        <v>25</v>
      </c>
      <c r="AK5" s="208"/>
      <c r="AO5" s="239"/>
      <c r="AP5" s="240"/>
      <c r="AQ5" s="241"/>
      <c r="AX5" s="24"/>
    </row>
    <row r="6" spans="1:50" x14ac:dyDescent="0.35">
      <c r="A6" s="41">
        <v>1</v>
      </c>
      <c r="B6" s="4">
        <v>45853</v>
      </c>
      <c r="C6" s="5">
        <v>0.45833333333333331</v>
      </c>
      <c r="D6" s="6">
        <f t="shared" ref="D6:D8" si="0">((B6-B5)+(C6-C5))*24</f>
        <v>17.5</v>
      </c>
      <c r="E6" s="6">
        <f>D6+E5</f>
        <v>18.5</v>
      </c>
      <c r="F6" s="70">
        <v>40</v>
      </c>
      <c r="G6" s="1">
        <v>14000</v>
      </c>
      <c r="H6" s="16">
        <v>2.44</v>
      </c>
      <c r="I6" s="1">
        <v>3.5999999999999997E-2</v>
      </c>
      <c r="J6" s="1">
        <v>5.59</v>
      </c>
      <c r="K6" s="1">
        <v>0.24399999999999999</v>
      </c>
      <c r="L6" s="75">
        <v>27</v>
      </c>
      <c r="M6" s="75">
        <v>134</v>
      </c>
      <c r="N6" s="70">
        <v>7.23</v>
      </c>
      <c r="O6" s="9">
        <v>60</v>
      </c>
      <c r="P6" s="1">
        <v>37</v>
      </c>
      <c r="Q6" s="1">
        <v>160</v>
      </c>
      <c r="R6" s="59" t="s">
        <v>58</v>
      </c>
      <c r="S6" s="10">
        <v>2</v>
      </c>
      <c r="T6" s="81">
        <v>1.66</v>
      </c>
      <c r="U6" s="86">
        <v>1.66</v>
      </c>
      <c r="V6" s="91">
        <v>207000000</v>
      </c>
      <c r="W6" s="207" t="s">
        <v>49</v>
      </c>
      <c r="X6" s="207"/>
      <c r="Y6" s="207"/>
      <c r="Z6" s="207"/>
      <c r="AA6" s="207"/>
      <c r="AB6" s="207"/>
      <c r="AC6" s="207"/>
      <c r="AD6" s="208"/>
      <c r="AG6" s="231" t="s">
        <v>41</v>
      </c>
      <c r="AH6" s="208"/>
      <c r="AI6" s="42">
        <v>650000</v>
      </c>
      <c r="AJ6" s="207" t="s">
        <v>24</v>
      </c>
      <c r="AK6" s="208"/>
      <c r="AO6" s="239"/>
      <c r="AP6" s="240"/>
      <c r="AQ6" s="241"/>
      <c r="AX6" s="24"/>
    </row>
    <row r="7" spans="1:50" x14ac:dyDescent="0.35">
      <c r="A7" s="41">
        <v>2</v>
      </c>
      <c r="B7" s="4">
        <v>45854</v>
      </c>
      <c r="C7" s="5">
        <v>0.5625</v>
      </c>
      <c r="D7" s="6">
        <f>((B7-B6)+(C7-C6))*24</f>
        <v>26.5</v>
      </c>
      <c r="E7" s="6">
        <f t="shared" ref="E7:E11" si="1">D7+E6</f>
        <v>45</v>
      </c>
      <c r="F7" s="70">
        <v>45</v>
      </c>
      <c r="G7" s="1">
        <v>14000</v>
      </c>
      <c r="H7" s="16">
        <v>2.38</v>
      </c>
      <c r="I7" s="1">
        <v>8.3000000000000004E-2</v>
      </c>
      <c r="J7" s="1">
        <v>5.5</v>
      </c>
      <c r="K7" s="1">
        <v>0.20300000000000001</v>
      </c>
      <c r="L7" s="75">
        <v>45</v>
      </c>
      <c r="M7" s="75">
        <v>140</v>
      </c>
      <c r="N7" s="70">
        <v>7.35</v>
      </c>
      <c r="O7" s="9">
        <v>58.1</v>
      </c>
      <c r="P7" s="1">
        <v>37</v>
      </c>
      <c r="Q7" s="1">
        <v>170</v>
      </c>
      <c r="R7" s="59" t="s">
        <v>58</v>
      </c>
      <c r="S7" s="10">
        <v>4</v>
      </c>
      <c r="T7" s="81">
        <v>6.56</v>
      </c>
      <c r="U7" s="86">
        <v>6.66</v>
      </c>
      <c r="V7" s="91">
        <v>3300000000</v>
      </c>
      <c r="W7" s="207" t="s">
        <v>50</v>
      </c>
      <c r="X7" s="207"/>
      <c r="Y7" s="207"/>
      <c r="Z7" s="207"/>
      <c r="AA7" s="207"/>
      <c r="AB7" s="207"/>
      <c r="AC7" s="207"/>
      <c r="AD7" s="208"/>
      <c r="AG7" s="231" t="s">
        <v>43</v>
      </c>
      <c r="AH7" s="208"/>
      <c r="AI7" s="45">
        <v>14000</v>
      </c>
      <c r="AJ7" s="207" t="s">
        <v>22</v>
      </c>
      <c r="AK7" s="208"/>
      <c r="AO7" s="239"/>
      <c r="AP7" s="240"/>
      <c r="AQ7" s="241"/>
      <c r="AX7" s="24"/>
    </row>
    <row r="8" spans="1:50" ht="17.25" customHeight="1" thickBot="1" x14ac:dyDescent="0.4">
      <c r="A8" s="54">
        <v>3</v>
      </c>
      <c r="B8" s="66">
        <v>45855</v>
      </c>
      <c r="C8" s="67">
        <v>0.375</v>
      </c>
      <c r="D8" s="68">
        <f t="shared" si="0"/>
        <v>19.5</v>
      </c>
      <c r="E8" s="68">
        <f t="shared" si="1"/>
        <v>64.5</v>
      </c>
      <c r="F8" s="71">
        <v>50</v>
      </c>
      <c r="G8" s="72">
        <v>14000</v>
      </c>
      <c r="H8" s="73">
        <v>2.25</v>
      </c>
      <c r="I8" s="72">
        <v>0.104</v>
      </c>
      <c r="J8" s="72">
        <v>5.07</v>
      </c>
      <c r="K8" s="72">
        <v>0.215</v>
      </c>
      <c r="L8" s="76">
        <v>40</v>
      </c>
      <c r="M8" s="76">
        <v>140</v>
      </c>
      <c r="N8" s="71">
        <v>7.12</v>
      </c>
      <c r="O8" s="79">
        <v>52.7</v>
      </c>
      <c r="P8" s="72">
        <v>37</v>
      </c>
      <c r="Q8" s="72">
        <v>190</v>
      </c>
      <c r="R8" s="61" t="s">
        <v>58</v>
      </c>
      <c r="S8" s="60">
        <v>4</v>
      </c>
      <c r="T8" s="89">
        <v>6.5</v>
      </c>
      <c r="U8" s="87">
        <v>6.5</v>
      </c>
      <c r="V8" s="92">
        <v>4580000000</v>
      </c>
      <c r="W8" s="215" t="s">
        <v>51</v>
      </c>
      <c r="X8" s="215"/>
      <c r="Y8" s="215"/>
      <c r="Z8" s="215"/>
      <c r="AA8" s="215"/>
      <c r="AB8" s="215"/>
      <c r="AC8" s="215"/>
      <c r="AD8" s="216"/>
      <c r="AG8" s="246" t="s">
        <v>20</v>
      </c>
      <c r="AH8" s="216"/>
      <c r="AI8" s="100">
        <f>((AI4)*(POWER(10,AI5))/((AI6)*(AI7)))</f>
        <v>1.1615198924623165E-3</v>
      </c>
      <c r="AJ8" s="215" t="s">
        <v>23</v>
      </c>
      <c r="AK8" s="216"/>
      <c r="AO8" s="242"/>
      <c r="AP8" s="243"/>
      <c r="AQ8" s="244"/>
    </row>
    <row r="9" spans="1:50" ht="15.75" customHeight="1" thickBot="1" x14ac:dyDescent="0.4">
      <c r="A9" s="41">
        <v>4</v>
      </c>
      <c r="B9" s="4">
        <v>45855</v>
      </c>
      <c r="C9" s="5">
        <v>0.67708333333333337</v>
      </c>
      <c r="D9" s="6">
        <f>((B9-B8)+(C9-C8))*24</f>
        <v>7.2500000000000009</v>
      </c>
      <c r="E9" s="6">
        <f t="shared" si="1"/>
        <v>71.75</v>
      </c>
      <c r="F9" s="70">
        <v>55</v>
      </c>
      <c r="G9" s="1">
        <v>14500</v>
      </c>
      <c r="H9" s="16">
        <v>2.83</v>
      </c>
      <c r="I9" s="1">
        <v>0</v>
      </c>
      <c r="J9" s="1">
        <v>4.3600000000000003</v>
      </c>
      <c r="K9" s="1">
        <v>0.48799999999999999</v>
      </c>
      <c r="L9" s="75">
        <v>21</v>
      </c>
      <c r="M9" s="75">
        <v>120</v>
      </c>
      <c r="N9" s="70">
        <v>7.27</v>
      </c>
      <c r="O9" s="9">
        <v>55.6</v>
      </c>
      <c r="P9" s="1">
        <v>37</v>
      </c>
      <c r="Q9" s="1">
        <v>200</v>
      </c>
      <c r="R9" s="59" t="s">
        <v>58</v>
      </c>
      <c r="S9" s="10">
        <v>0</v>
      </c>
      <c r="T9" s="80">
        <v>5.74</v>
      </c>
      <c r="U9" s="85">
        <v>5</v>
      </c>
      <c r="V9" s="85"/>
      <c r="W9" s="207" t="s">
        <v>52</v>
      </c>
      <c r="X9" s="207"/>
      <c r="Y9" s="207"/>
      <c r="Z9" s="207"/>
      <c r="AA9" s="207"/>
      <c r="AB9" s="207"/>
      <c r="AC9" s="207"/>
      <c r="AD9" s="208"/>
      <c r="AG9" s="207" t="s">
        <v>21</v>
      </c>
      <c r="AH9" s="207"/>
      <c r="AI9" s="1" t="s">
        <v>38</v>
      </c>
      <c r="AJ9" s="207" t="s">
        <v>23</v>
      </c>
      <c r="AK9" s="207"/>
    </row>
    <row r="10" spans="1:50" ht="15.75" customHeight="1" x14ac:dyDescent="0.35">
      <c r="A10" s="41">
        <v>5</v>
      </c>
      <c r="B10" s="4">
        <v>45856</v>
      </c>
      <c r="C10" s="5">
        <v>0.625</v>
      </c>
      <c r="D10" s="6">
        <f t="shared" ref="D10:D11" si="2">((B10-B9)+(C10-C9))*24</f>
        <v>22.75</v>
      </c>
      <c r="E10" s="6">
        <f t="shared" si="1"/>
        <v>94.5</v>
      </c>
      <c r="F10" s="70">
        <v>60</v>
      </c>
      <c r="G10" s="1">
        <v>14500</v>
      </c>
      <c r="H10" s="16">
        <v>2.76</v>
      </c>
      <c r="I10" s="1">
        <v>2.5999999999999999E-2</v>
      </c>
      <c r="J10" s="1">
        <v>4.8</v>
      </c>
      <c r="K10" s="1">
        <v>0.495</v>
      </c>
      <c r="L10" s="75">
        <v>20</v>
      </c>
      <c r="M10" s="75">
        <v>127</v>
      </c>
      <c r="N10" s="70">
        <v>7.36</v>
      </c>
      <c r="O10" s="9">
        <v>60.3</v>
      </c>
      <c r="P10" s="1">
        <v>37</v>
      </c>
      <c r="Q10" s="1">
        <v>200</v>
      </c>
      <c r="R10" s="59" t="s">
        <v>58</v>
      </c>
      <c r="S10" s="10">
        <v>0</v>
      </c>
      <c r="T10" s="81">
        <v>5.79</v>
      </c>
      <c r="U10" s="86">
        <v>6.7</v>
      </c>
      <c r="V10" s="91">
        <v>6340000000</v>
      </c>
      <c r="W10" s="207" t="s">
        <v>53</v>
      </c>
      <c r="X10" s="207"/>
      <c r="Y10" s="207"/>
      <c r="Z10" s="207"/>
      <c r="AA10" s="207"/>
      <c r="AB10" s="207"/>
      <c r="AC10" s="207"/>
      <c r="AD10" s="208"/>
      <c r="AL10" s="204" t="s">
        <v>27</v>
      </c>
      <c r="AM10" s="201" t="s">
        <v>28</v>
      </c>
      <c r="AN10" s="204" t="s">
        <v>29</v>
      </c>
      <c r="AO10" s="2"/>
      <c r="AP10" s="2"/>
    </row>
    <row r="11" spans="1:50" ht="15.75" customHeight="1" x14ac:dyDescent="0.35">
      <c r="A11" s="41">
        <v>6</v>
      </c>
      <c r="B11" s="4">
        <v>45857</v>
      </c>
      <c r="C11" s="5">
        <v>0.42708333333333331</v>
      </c>
      <c r="D11" s="6">
        <f t="shared" si="2"/>
        <v>19.25</v>
      </c>
      <c r="E11" s="6">
        <f t="shared" si="1"/>
        <v>113.75</v>
      </c>
      <c r="F11" s="70">
        <v>65</v>
      </c>
      <c r="G11" s="1">
        <v>14500</v>
      </c>
      <c r="H11" s="16">
        <v>2.74</v>
      </c>
      <c r="I11" s="1">
        <v>5.1999999999999998E-2</v>
      </c>
      <c r="J11" s="1">
        <v>4.16</v>
      </c>
      <c r="K11" s="1">
        <v>0.41599999999999998</v>
      </c>
      <c r="L11" s="75">
        <v>30</v>
      </c>
      <c r="M11" s="75">
        <v>135</v>
      </c>
      <c r="N11" s="70">
        <v>7.28</v>
      </c>
      <c r="O11" s="9">
        <v>60.8</v>
      </c>
      <c r="P11" s="1">
        <v>37</v>
      </c>
      <c r="Q11" s="1">
        <v>200</v>
      </c>
      <c r="R11" s="59" t="s">
        <v>58</v>
      </c>
      <c r="S11" s="10">
        <v>0</v>
      </c>
      <c r="T11" s="81">
        <v>5.0999999999999996</v>
      </c>
      <c r="U11" s="86">
        <v>6.5</v>
      </c>
      <c r="V11" s="91">
        <v>5750000000</v>
      </c>
      <c r="W11" s="207" t="s">
        <v>54</v>
      </c>
      <c r="X11" s="207"/>
      <c r="Y11" s="207"/>
      <c r="Z11" s="207"/>
      <c r="AA11" s="207"/>
      <c r="AB11" s="207"/>
      <c r="AC11" s="207"/>
      <c r="AD11" s="208"/>
      <c r="AL11" s="205"/>
      <c r="AM11" s="202"/>
      <c r="AN11" s="205"/>
      <c r="AO11" s="2"/>
      <c r="AP11" s="2"/>
    </row>
    <row r="12" spans="1:50" ht="15.75" customHeight="1" thickBot="1" x14ac:dyDescent="0.4">
      <c r="A12" s="54">
        <v>7</v>
      </c>
      <c r="B12" s="66">
        <v>45859</v>
      </c>
      <c r="C12" s="67">
        <v>0.625</v>
      </c>
      <c r="D12" s="68">
        <f t="shared" ref="D12:D13" si="3">((B12-B11)+(C12-C11))*24</f>
        <v>52.75</v>
      </c>
      <c r="E12" s="68">
        <f t="shared" ref="E12:E13" si="4">D12+E11</f>
        <v>166.5</v>
      </c>
      <c r="F12" s="71">
        <v>70</v>
      </c>
      <c r="G12" s="72">
        <v>14500</v>
      </c>
      <c r="H12" s="73">
        <v>2.4700000000000002</v>
      </c>
      <c r="I12" s="72">
        <v>0.17499999999999999</v>
      </c>
      <c r="J12" s="72">
        <v>3.09</v>
      </c>
      <c r="K12" s="72">
        <v>0.68799999999999994</v>
      </c>
      <c r="L12" s="76">
        <v>45</v>
      </c>
      <c r="M12" s="76">
        <v>126</v>
      </c>
      <c r="N12" s="71">
        <v>7.08</v>
      </c>
      <c r="O12" s="79">
        <v>49.1</v>
      </c>
      <c r="P12" s="72">
        <v>37</v>
      </c>
      <c r="Q12" s="72">
        <v>200</v>
      </c>
      <c r="R12" s="61" t="s">
        <v>58</v>
      </c>
      <c r="S12" s="60">
        <v>2</v>
      </c>
      <c r="T12" s="82">
        <v>6.79</v>
      </c>
      <c r="U12" s="88">
        <v>6.89</v>
      </c>
      <c r="V12" s="93">
        <v>5810000000</v>
      </c>
      <c r="W12" s="214" t="s">
        <v>55</v>
      </c>
      <c r="X12" s="215"/>
      <c r="Y12" s="215"/>
      <c r="Z12" s="215"/>
      <c r="AA12" s="215"/>
      <c r="AB12" s="215"/>
      <c r="AC12" s="215"/>
      <c r="AD12" s="216"/>
      <c r="AL12" s="206"/>
      <c r="AM12" s="203"/>
      <c r="AN12" s="206"/>
    </row>
    <row r="13" spans="1:50" ht="15.75" customHeight="1" thickBot="1" x14ac:dyDescent="0.4">
      <c r="A13" s="40">
        <v>8</v>
      </c>
      <c r="B13" s="63">
        <v>45859</v>
      </c>
      <c r="C13" s="64">
        <v>0.79166666666666663</v>
      </c>
      <c r="D13" s="65">
        <f t="shared" si="3"/>
        <v>3.9999999999999991</v>
      </c>
      <c r="E13" s="65">
        <f t="shared" si="4"/>
        <v>170.5</v>
      </c>
      <c r="F13" s="69">
        <v>70</v>
      </c>
      <c r="G13" s="15">
        <v>14500</v>
      </c>
      <c r="H13" s="14">
        <v>2.73</v>
      </c>
      <c r="I13" s="15">
        <v>8.0000000000000002E-3</v>
      </c>
      <c r="J13" s="15">
        <v>3.28</v>
      </c>
      <c r="K13" s="15">
        <v>0.442</v>
      </c>
      <c r="L13" s="74">
        <v>11</v>
      </c>
      <c r="M13" s="74">
        <v>125</v>
      </c>
      <c r="N13" s="83">
        <v>7.18</v>
      </c>
      <c r="O13" s="56">
        <v>61</v>
      </c>
      <c r="P13" s="56">
        <v>37</v>
      </c>
      <c r="Q13" s="56">
        <v>200</v>
      </c>
      <c r="R13" s="58" t="s">
        <v>58</v>
      </c>
      <c r="S13" s="57">
        <v>4</v>
      </c>
      <c r="T13" s="81">
        <v>3.66</v>
      </c>
      <c r="U13" s="86">
        <v>3.66</v>
      </c>
      <c r="V13" s="86"/>
      <c r="W13" s="11"/>
      <c r="X13" s="11"/>
      <c r="Y13" s="11"/>
      <c r="Z13" s="11"/>
      <c r="AA13" s="11"/>
      <c r="AL13" s="46">
        <v>3.5</v>
      </c>
      <c r="AM13" s="47">
        <v>6.48</v>
      </c>
      <c r="AN13" s="48">
        <f>AL13*POWER(10,AM13)</f>
        <v>10569831.021407079</v>
      </c>
    </row>
    <row r="14" spans="1:50" ht="15.75" customHeight="1" x14ac:dyDescent="0.35">
      <c r="A14" s="41">
        <v>9</v>
      </c>
      <c r="B14" s="4">
        <v>45861</v>
      </c>
      <c r="C14" s="5">
        <v>0.59375</v>
      </c>
      <c r="D14" s="6">
        <f t="shared" ref="D14:D15" si="5">((B14-B13)+(C14-C13))*24</f>
        <v>43.25</v>
      </c>
      <c r="E14" s="6">
        <f t="shared" ref="E14:E15" si="6">D14+E13</f>
        <v>213.75</v>
      </c>
      <c r="F14" s="70">
        <v>70</v>
      </c>
      <c r="G14" s="1">
        <v>14500</v>
      </c>
      <c r="H14" s="16">
        <v>2.14</v>
      </c>
      <c r="I14" s="1">
        <v>0.29599999999999999</v>
      </c>
      <c r="J14" s="1">
        <v>2.42</v>
      </c>
      <c r="K14" s="1">
        <v>0.63</v>
      </c>
      <c r="L14" s="75">
        <v>46</v>
      </c>
      <c r="M14" s="75">
        <v>113</v>
      </c>
      <c r="N14" s="77">
        <v>7.2</v>
      </c>
      <c r="O14" s="2">
        <v>42.9</v>
      </c>
      <c r="P14" s="2">
        <v>37</v>
      </c>
      <c r="Q14" s="2">
        <v>200</v>
      </c>
      <c r="R14" s="59" t="s">
        <v>58</v>
      </c>
      <c r="S14" s="10">
        <v>2</v>
      </c>
      <c r="T14" s="81">
        <v>5.49</v>
      </c>
      <c r="U14" s="86">
        <v>6.89</v>
      </c>
      <c r="V14" s="91">
        <v>4510000000</v>
      </c>
      <c r="W14" s="11"/>
      <c r="X14" s="11"/>
      <c r="Y14" s="11"/>
      <c r="Z14" s="11"/>
      <c r="AA14" s="11"/>
      <c r="AD14" s="213" t="s">
        <v>80</v>
      </c>
      <c r="AE14" s="213"/>
      <c r="AF14" s="213"/>
      <c r="AG14" s="213"/>
      <c r="AH14" s="213"/>
      <c r="AI14" s="213"/>
      <c r="AJ14" s="213"/>
      <c r="AK14" s="213"/>
    </row>
    <row r="15" spans="1:50" ht="15.75" customHeight="1" thickBot="1" x14ac:dyDescent="0.4">
      <c r="A15" s="54">
        <v>10</v>
      </c>
      <c r="B15" s="66">
        <v>45862</v>
      </c>
      <c r="C15" s="67">
        <v>0.5</v>
      </c>
      <c r="D15" s="68">
        <f t="shared" si="5"/>
        <v>21.75</v>
      </c>
      <c r="E15" s="68">
        <f t="shared" si="6"/>
        <v>235.5</v>
      </c>
      <c r="F15" s="71">
        <v>70</v>
      </c>
      <c r="G15" s="72">
        <v>14500</v>
      </c>
      <c r="H15" s="73">
        <v>1.38</v>
      </c>
      <c r="I15" s="72">
        <v>0.51400000000000001</v>
      </c>
      <c r="J15" s="72">
        <v>1.79</v>
      </c>
      <c r="K15" s="72">
        <v>0.58599999999999997</v>
      </c>
      <c r="L15" s="76">
        <v>50</v>
      </c>
      <c r="M15" s="76">
        <v>119</v>
      </c>
      <c r="N15" s="84">
        <v>7</v>
      </c>
      <c r="O15" s="62">
        <v>48.2</v>
      </c>
      <c r="P15" s="62">
        <v>37</v>
      </c>
      <c r="Q15" s="62">
        <v>180</v>
      </c>
      <c r="R15" s="61" t="s">
        <v>58</v>
      </c>
      <c r="S15" s="60">
        <v>4</v>
      </c>
      <c r="T15" s="81">
        <v>6.66</v>
      </c>
      <c r="U15" s="87">
        <v>7.32</v>
      </c>
      <c r="V15" s="92">
        <v>6180000000</v>
      </c>
      <c r="W15" s="11"/>
      <c r="X15" s="11"/>
      <c r="Y15" s="11"/>
      <c r="Z15" s="11"/>
      <c r="AA15" s="11"/>
      <c r="AD15" s="198" t="s">
        <v>65</v>
      </c>
      <c r="AE15" s="198" t="s">
        <v>72</v>
      </c>
      <c r="AF15" s="192" t="s">
        <v>79</v>
      </c>
      <c r="AG15" s="195" t="s">
        <v>76</v>
      </c>
      <c r="AH15" s="197"/>
      <c r="AI15" s="196"/>
      <c r="AJ15" s="195" t="s">
        <v>75</v>
      </c>
      <c r="AK15" s="196"/>
      <c r="AL15" s="2"/>
    </row>
    <row r="16" spans="1:50" ht="15.75" customHeight="1" x14ac:dyDescent="0.35">
      <c r="A16" s="40">
        <v>11</v>
      </c>
      <c r="B16" s="63">
        <v>45863</v>
      </c>
      <c r="C16" s="64">
        <v>0.54166666666666663</v>
      </c>
      <c r="D16" s="65">
        <f t="shared" ref="D16:D21" si="7">((B16-B15)+(C16-C15))*24</f>
        <v>24.999999999999996</v>
      </c>
      <c r="E16" s="65">
        <f t="shared" ref="E16:E21" si="8">D16+E15</f>
        <v>260.5</v>
      </c>
      <c r="F16" s="69">
        <v>80</v>
      </c>
      <c r="G16" s="15">
        <v>14500</v>
      </c>
      <c r="H16" s="14">
        <v>2.12</v>
      </c>
      <c r="I16" s="15">
        <v>0.27700000000000002</v>
      </c>
      <c r="J16" s="15">
        <v>3.65</v>
      </c>
      <c r="K16" s="15">
        <v>0.44800000000000001</v>
      </c>
      <c r="L16" s="74">
        <v>33</v>
      </c>
      <c r="M16" s="74">
        <v>121</v>
      </c>
      <c r="N16" s="69">
        <v>7.28</v>
      </c>
      <c r="O16" s="57">
        <v>32.1</v>
      </c>
      <c r="P16" s="56">
        <v>37</v>
      </c>
      <c r="Q16" s="56">
        <v>190</v>
      </c>
      <c r="R16" s="58" t="s">
        <v>58</v>
      </c>
      <c r="S16" s="57">
        <v>4</v>
      </c>
      <c r="T16" s="80">
        <v>5.66</v>
      </c>
      <c r="U16" s="85">
        <v>6.74</v>
      </c>
      <c r="V16" s="90">
        <v>4110000000</v>
      </c>
      <c r="W16" s="11"/>
      <c r="X16" s="11"/>
      <c r="Y16" s="11"/>
      <c r="Z16" s="11"/>
      <c r="AA16" s="11"/>
      <c r="AB16" s="11"/>
      <c r="AC16" s="11"/>
      <c r="AD16" s="199"/>
      <c r="AE16" s="199"/>
      <c r="AF16" s="193"/>
      <c r="AG16" s="105" t="s">
        <v>77</v>
      </c>
      <c r="AH16" s="105" t="s">
        <v>78</v>
      </c>
      <c r="AI16" s="105" t="s">
        <v>62</v>
      </c>
      <c r="AJ16" s="105" t="s">
        <v>66</v>
      </c>
      <c r="AK16" s="105" t="s">
        <v>73</v>
      </c>
      <c r="AM16" s="2"/>
      <c r="AN16" s="2"/>
      <c r="AP16" s="209" t="s">
        <v>28</v>
      </c>
      <c r="AQ16" s="211" t="s">
        <v>30</v>
      </c>
      <c r="AR16" s="185" t="s">
        <v>42</v>
      </c>
      <c r="AS16" s="185" t="s">
        <v>31</v>
      </c>
      <c r="AT16" s="185" t="s">
        <v>32</v>
      </c>
      <c r="AU16" s="185" t="s">
        <v>33</v>
      </c>
      <c r="AV16" s="185" t="s">
        <v>34</v>
      </c>
      <c r="AW16" s="187" t="s">
        <v>35</v>
      </c>
    </row>
    <row r="17" spans="1:49" ht="15.75" customHeight="1" thickBot="1" x14ac:dyDescent="0.4">
      <c r="A17" s="41">
        <v>12</v>
      </c>
      <c r="B17" s="4">
        <v>45864</v>
      </c>
      <c r="C17" s="5">
        <v>0.52083333333333337</v>
      </c>
      <c r="D17" s="6">
        <f t="shared" si="7"/>
        <v>23.5</v>
      </c>
      <c r="E17" s="6">
        <f t="shared" si="8"/>
        <v>284</v>
      </c>
      <c r="F17" s="70">
        <v>80</v>
      </c>
      <c r="G17" s="1">
        <v>14500</v>
      </c>
      <c r="H17" s="16">
        <v>1.35</v>
      </c>
      <c r="I17" s="1">
        <v>0.52800000000000002</v>
      </c>
      <c r="J17" s="1">
        <v>2.91</v>
      </c>
      <c r="K17" s="1">
        <v>0.61099999999999999</v>
      </c>
      <c r="L17" s="75">
        <v>39</v>
      </c>
      <c r="M17" s="75">
        <v>119</v>
      </c>
      <c r="N17" s="70">
        <v>7.1</v>
      </c>
      <c r="O17" s="10">
        <v>40</v>
      </c>
      <c r="P17" s="2">
        <v>37</v>
      </c>
      <c r="Q17" s="2">
        <v>190</v>
      </c>
      <c r="R17" s="59" t="s">
        <v>58</v>
      </c>
      <c r="S17" s="10">
        <v>2</v>
      </c>
      <c r="T17" s="81">
        <v>6.79</v>
      </c>
      <c r="U17" s="86">
        <v>6.38</v>
      </c>
      <c r="V17" s="91">
        <v>5270000000</v>
      </c>
      <c r="W17" s="11"/>
      <c r="X17" s="11"/>
      <c r="Y17" s="11"/>
      <c r="Z17" s="11"/>
      <c r="AA17" s="11"/>
      <c r="AB17" s="11"/>
      <c r="AC17" s="11"/>
      <c r="AD17" s="101">
        <v>1</v>
      </c>
      <c r="AE17" s="104">
        <v>45855</v>
      </c>
      <c r="AF17" s="103">
        <v>14376</v>
      </c>
      <c r="AG17" s="95">
        <v>6.5</v>
      </c>
      <c r="AH17" s="95">
        <v>6.5</v>
      </c>
      <c r="AI17" s="95">
        <v>4</v>
      </c>
      <c r="AJ17" s="96">
        <v>4580000000</v>
      </c>
      <c r="AK17" s="94" t="s">
        <v>74</v>
      </c>
      <c r="AM17" s="2"/>
      <c r="AN17" s="2"/>
      <c r="AO17" s="25"/>
      <c r="AP17" s="210"/>
      <c r="AQ17" s="212"/>
      <c r="AR17" s="186"/>
      <c r="AS17" s="189"/>
      <c r="AT17" s="186"/>
      <c r="AU17" s="186"/>
      <c r="AV17" s="186"/>
      <c r="AW17" s="188"/>
    </row>
    <row r="18" spans="1:49" ht="15.75" customHeight="1" thickBot="1" x14ac:dyDescent="0.4">
      <c r="A18" s="54">
        <v>13</v>
      </c>
      <c r="B18" s="66">
        <v>45866</v>
      </c>
      <c r="C18" s="67">
        <v>0.51041666666666663</v>
      </c>
      <c r="D18" s="68">
        <f t="shared" si="7"/>
        <v>47.75</v>
      </c>
      <c r="E18" s="68">
        <f t="shared" si="8"/>
        <v>331.75</v>
      </c>
      <c r="F18" s="71">
        <v>85</v>
      </c>
      <c r="G18" s="72">
        <v>14500</v>
      </c>
      <c r="H18" s="73">
        <v>0.48899999999999999</v>
      </c>
      <c r="I18" s="72">
        <v>0.66800000000000004</v>
      </c>
      <c r="J18" s="72">
        <v>2.04</v>
      </c>
      <c r="K18" s="72">
        <v>0.873</v>
      </c>
      <c r="L18" s="76">
        <v>49</v>
      </c>
      <c r="M18" s="76">
        <v>120</v>
      </c>
      <c r="N18" s="71">
        <v>7.01</v>
      </c>
      <c r="O18" s="60">
        <v>40.5</v>
      </c>
      <c r="P18" s="62">
        <v>37</v>
      </c>
      <c r="Q18" s="62">
        <v>190</v>
      </c>
      <c r="R18" s="61" t="s">
        <v>58</v>
      </c>
      <c r="S18" s="60">
        <v>2</v>
      </c>
      <c r="T18" s="82">
        <v>6.66</v>
      </c>
      <c r="U18" s="88">
        <v>6.66</v>
      </c>
      <c r="V18" s="93">
        <v>6680000000</v>
      </c>
      <c r="W18" s="11"/>
      <c r="X18" s="11"/>
      <c r="Y18" s="11"/>
      <c r="Z18" s="11"/>
      <c r="AA18" s="11"/>
      <c r="AB18" s="11"/>
      <c r="AC18" s="11"/>
      <c r="AD18" s="106">
        <v>2</v>
      </c>
      <c r="AE18" s="107">
        <v>45859</v>
      </c>
      <c r="AF18" s="108">
        <v>14298</v>
      </c>
      <c r="AG18" s="109">
        <v>6.79</v>
      </c>
      <c r="AH18" s="109">
        <v>6.89</v>
      </c>
      <c r="AI18" s="109">
        <v>2</v>
      </c>
      <c r="AJ18" s="110">
        <v>5810000000</v>
      </c>
      <c r="AK18" s="111" t="s">
        <v>74</v>
      </c>
      <c r="AM18" s="2"/>
      <c r="AN18" s="2"/>
      <c r="AO18">
        <v>0</v>
      </c>
      <c r="AP18" s="145">
        <f>$AM$13</f>
        <v>6.48</v>
      </c>
      <c r="AQ18" s="146">
        <v>4</v>
      </c>
      <c r="AR18" s="146">
        <v>7.48</v>
      </c>
      <c r="AS18" s="147">
        <v>30000</v>
      </c>
      <c r="AT18" s="48">
        <f>(POWER(10,AR18))*$AS$18</f>
        <v>905985516120.60779</v>
      </c>
      <c r="AU18" s="149" t="e">
        <f>#REF!</f>
        <v>#REF!</v>
      </c>
      <c r="AV18" s="150" t="e">
        <f>AT18/$AU$18</f>
        <v>#REF!</v>
      </c>
      <c r="AW18" s="148">
        <f>(AT18*100)/$AN$13</f>
        <v>8571428.5714285821</v>
      </c>
    </row>
    <row r="19" spans="1:49" ht="15.75" customHeight="1" x14ac:dyDescent="0.35">
      <c r="A19" s="41">
        <v>14</v>
      </c>
      <c r="B19" s="4">
        <v>45867</v>
      </c>
      <c r="C19" s="5">
        <v>0.66666666666666663</v>
      </c>
      <c r="D19" s="6">
        <f t="shared" si="7"/>
        <v>27.75</v>
      </c>
      <c r="E19" s="6">
        <f t="shared" si="8"/>
        <v>359.5</v>
      </c>
      <c r="F19" s="70">
        <v>90</v>
      </c>
      <c r="G19" s="1">
        <v>14500</v>
      </c>
      <c r="H19" s="16">
        <v>2.0299999999999998</v>
      </c>
      <c r="I19" s="1">
        <v>0.29399999999999998</v>
      </c>
      <c r="J19" s="1">
        <v>3.8</v>
      </c>
      <c r="K19" s="1">
        <v>0.52100000000000002</v>
      </c>
      <c r="L19" s="75">
        <v>28</v>
      </c>
      <c r="M19" s="75">
        <v>121</v>
      </c>
      <c r="N19" s="70">
        <v>7.01</v>
      </c>
      <c r="O19" s="9">
        <v>33</v>
      </c>
      <c r="P19" s="75">
        <v>37</v>
      </c>
      <c r="Q19" s="75">
        <v>195</v>
      </c>
      <c r="R19" s="59" t="s">
        <v>58</v>
      </c>
      <c r="S19" s="10">
        <v>4</v>
      </c>
      <c r="T19" s="81">
        <v>3.5</v>
      </c>
      <c r="U19" s="86">
        <v>3.79</v>
      </c>
      <c r="V19" s="91">
        <v>3910000000</v>
      </c>
      <c r="W19" s="1"/>
      <c r="X19" s="10"/>
      <c r="Y19" s="11"/>
      <c r="Z19" s="11"/>
      <c r="AA19" s="11"/>
      <c r="AB19" s="11"/>
      <c r="AC19" s="11"/>
      <c r="AD19" s="101">
        <v>3</v>
      </c>
      <c r="AE19" s="104">
        <v>45862</v>
      </c>
      <c r="AF19" s="103">
        <v>13838</v>
      </c>
      <c r="AG19" s="95">
        <v>6.66</v>
      </c>
      <c r="AH19" s="95">
        <v>7.32</v>
      </c>
      <c r="AI19" s="95">
        <v>4</v>
      </c>
      <c r="AJ19" s="96">
        <v>6180000000</v>
      </c>
      <c r="AK19" s="94" t="s">
        <v>74</v>
      </c>
      <c r="AQ19" s="2"/>
      <c r="AR19" s="2"/>
      <c r="AW19" s="55"/>
    </row>
    <row r="20" spans="1:49" ht="15.75" customHeight="1" x14ac:dyDescent="0.35">
      <c r="A20" s="41">
        <v>15</v>
      </c>
      <c r="B20" s="4">
        <v>45868</v>
      </c>
      <c r="C20" s="5">
        <v>0.57291666666666663</v>
      </c>
      <c r="D20" s="6">
        <f t="shared" si="7"/>
        <v>21.75</v>
      </c>
      <c r="E20" s="6">
        <f t="shared" si="8"/>
        <v>381.25</v>
      </c>
      <c r="F20" s="70">
        <v>90</v>
      </c>
      <c r="G20" s="1">
        <v>14500</v>
      </c>
      <c r="H20" s="16">
        <v>1.44</v>
      </c>
      <c r="I20" s="1">
        <v>0.51400000000000001</v>
      </c>
      <c r="J20" s="1">
        <v>2.78</v>
      </c>
      <c r="K20" s="1">
        <v>0.76800000000000002</v>
      </c>
      <c r="L20" s="75">
        <v>40</v>
      </c>
      <c r="M20" s="75">
        <v>119</v>
      </c>
      <c r="N20" s="70">
        <v>6.95</v>
      </c>
      <c r="O20" s="9">
        <v>45.3</v>
      </c>
      <c r="P20" s="75">
        <v>37</v>
      </c>
      <c r="Q20" s="75">
        <v>195</v>
      </c>
      <c r="R20" s="59" t="s">
        <v>58</v>
      </c>
      <c r="S20" s="10">
        <v>4</v>
      </c>
      <c r="T20" s="81">
        <v>4</v>
      </c>
      <c r="U20" s="86">
        <v>6.58</v>
      </c>
      <c r="V20" s="91">
        <v>4950000000</v>
      </c>
      <c r="W20" s="1"/>
      <c r="X20" s="10"/>
      <c r="Y20" s="11"/>
      <c r="Z20" s="11"/>
      <c r="AA20" s="11"/>
      <c r="AB20" s="11"/>
      <c r="AC20" s="11"/>
      <c r="AD20" s="106">
        <v>4</v>
      </c>
      <c r="AE20" s="107">
        <v>45866</v>
      </c>
      <c r="AF20" s="108">
        <v>14012</v>
      </c>
      <c r="AG20" s="109">
        <v>6.66</v>
      </c>
      <c r="AH20" s="109">
        <v>6.66</v>
      </c>
      <c r="AI20" s="109">
        <v>2</v>
      </c>
      <c r="AJ20" s="110">
        <v>6680000000</v>
      </c>
      <c r="AK20" s="111" t="s">
        <v>74</v>
      </c>
      <c r="AQ20" s="2"/>
      <c r="AR20" s="2"/>
      <c r="AW20" s="55"/>
    </row>
    <row r="21" spans="1:49" ht="15.75" customHeight="1" thickBot="1" x14ac:dyDescent="0.4">
      <c r="A21" s="54">
        <v>16</v>
      </c>
      <c r="B21" s="66">
        <v>45869</v>
      </c>
      <c r="C21" s="67">
        <v>0.375</v>
      </c>
      <c r="D21" s="68">
        <f t="shared" si="7"/>
        <v>19.25</v>
      </c>
      <c r="E21" s="68">
        <f t="shared" si="8"/>
        <v>400.5</v>
      </c>
      <c r="F21" s="71">
        <v>95</v>
      </c>
      <c r="G21" s="72">
        <v>14500</v>
      </c>
      <c r="H21" s="73">
        <v>0.93300000000000005</v>
      </c>
      <c r="I21" s="72">
        <v>0.63100000000000001</v>
      </c>
      <c r="J21" s="72">
        <v>2.68</v>
      </c>
      <c r="K21" s="72">
        <v>0.73099999999999998</v>
      </c>
      <c r="L21" s="76">
        <v>35</v>
      </c>
      <c r="M21" s="76">
        <v>117</v>
      </c>
      <c r="N21" s="71">
        <v>6.9</v>
      </c>
      <c r="O21" s="79">
        <v>39.1</v>
      </c>
      <c r="P21" s="76">
        <v>37</v>
      </c>
      <c r="Q21" s="76">
        <v>195</v>
      </c>
      <c r="R21" s="61" t="s">
        <v>58</v>
      </c>
      <c r="S21" s="60">
        <v>8</v>
      </c>
      <c r="T21" s="82">
        <v>6.56</v>
      </c>
      <c r="U21" s="88">
        <v>6.58</v>
      </c>
      <c r="V21" s="93">
        <v>6280000000</v>
      </c>
      <c r="W21" s="1"/>
      <c r="X21" s="10"/>
      <c r="Y21" s="11"/>
      <c r="Z21" s="11"/>
      <c r="AA21" s="11"/>
      <c r="AB21" s="11"/>
      <c r="AC21" s="11"/>
      <c r="AD21" s="101">
        <v>5</v>
      </c>
      <c r="AE21" s="104">
        <v>45869</v>
      </c>
      <c r="AF21" s="103">
        <v>13200</v>
      </c>
      <c r="AG21" s="95">
        <v>6.56</v>
      </c>
      <c r="AH21" s="95">
        <v>6.58</v>
      </c>
      <c r="AI21" s="95">
        <v>8</v>
      </c>
      <c r="AJ21" s="96">
        <v>6280000000</v>
      </c>
      <c r="AK21" s="94" t="s">
        <v>74</v>
      </c>
      <c r="AQ21" s="2"/>
      <c r="AR21" s="2"/>
      <c r="AT21" s="25"/>
      <c r="AU21" s="6"/>
      <c r="AV21" s="45"/>
      <c r="AW21" s="55"/>
    </row>
    <row r="22" spans="1:49" ht="15.75" customHeight="1" x14ac:dyDescent="0.35">
      <c r="A22" s="1"/>
      <c r="B22" s="4"/>
      <c r="C22" s="5"/>
      <c r="D22" s="6"/>
      <c r="E22" s="6"/>
      <c r="F22" s="3"/>
      <c r="G22" s="1"/>
      <c r="H22" s="1"/>
      <c r="I22" s="3"/>
      <c r="J22" s="1"/>
      <c r="K22" s="1"/>
      <c r="L22" s="1"/>
      <c r="M22" s="1"/>
      <c r="N22" s="1"/>
      <c r="O22" s="1"/>
      <c r="P22" s="7"/>
      <c r="Q22" s="7"/>
      <c r="R22" s="8"/>
      <c r="S22" s="9"/>
      <c r="T22" s="1"/>
      <c r="U22" s="1"/>
      <c r="V22" s="10"/>
      <c r="W22" s="11"/>
      <c r="X22" s="11"/>
      <c r="Y22" s="11"/>
      <c r="Z22" s="11"/>
      <c r="AA22" s="11"/>
      <c r="AB22" s="11"/>
      <c r="AC22" s="11"/>
      <c r="AD22" s="1"/>
      <c r="AE22" s="1"/>
      <c r="AF22" s="1"/>
      <c r="AG22" s="3"/>
      <c r="AH22" s="1"/>
      <c r="AL22" s="2"/>
      <c r="AM22" s="2"/>
      <c r="AO22" s="25"/>
      <c r="AP22" s="2"/>
      <c r="AQ22" s="1"/>
      <c r="AR22" s="55"/>
      <c r="AS22" s="3"/>
      <c r="AT22" s="3"/>
      <c r="AU22" s="98"/>
      <c r="AV22" s="99"/>
    </row>
    <row r="23" spans="1:49" ht="15.75" customHeight="1" x14ac:dyDescent="0.35">
      <c r="A23" s="1"/>
      <c r="B23" s="4"/>
      <c r="C23" s="5"/>
      <c r="D23" s="6"/>
      <c r="E23" s="6"/>
      <c r="F23" s="3"/>
      <c r="G23" s="1"/>
      <c r="H23" s="1"/>
      <c r="I23" s="3"/>
      <c r="J23" s="1"/>
      <c r="K23" s="1"/>
      <c r="L23" s="1"/>
      <c r="M23" s="1"/>
      <c r="N23" s="1"/>
      <c r="O23" s="1"/>
      <c r="P23" s="7"/>
      <c r="Q23" s="7"/>
      <c r="R23" s="8"/>
      <c r="S23" s="9"/>
      <c r="T23" s="1"/>
      <c r="U23" s="10"/>
      <c r="V23" s="11"/>
      <c r="W23" s="11"/>
      <c r="X23" s="11"/>
      <c r="Y23" s="11"/>
      <c r="Z23" s="11"/>
      <c r="AA23" s="11"/>
      <c r="AB23" s="11"/>
      <c r="AC23" s="11"/>
      <c r="AD23" s="12"/>
      <c r="AK23" s="2"/>
      <c r="AL23" s="2"/>
      <c r="AN23" s="25"/>
      <c r="AO23" s="2"/>
      <c r="AP23" s="1"/>
      <c r="AQ23" s="55"/>
      <c r="AR23" s="3"/>
      <c r="AS23" s="3"/>
      <c r="AT23" s="98"/>
      <c r="AU23" s="99"/>
    </row>
    <row r="24" spans="1:49" ht="15.75" customHeight="1" x14ac:dyDescent="0.35">
      <c r="A24" s="1"/>
      <c r="B24" s="4"/>
      <c r="C24" s="5"/>
      <c r="D24" s="6"/>
      <c r="E24" s="6"/>
      <c r="F24" s="3"/>
      <c r="G24" s="1"/>
      <c r="H24" s="1"/>
      <c r="I24" s="3"/>
      <c r="J24" s="1"/>
      <c r="K24" s="1"/>
      <c r="L24" s="1"/>
      <c r="M24" s="1"/>
      <c r="N24" s="1"/>
      <c r="O24" s="1"/>
      <c r="P24" s="7"/>
      <c r="Q24" s="7"/>
      <c r="R24" s="8"/>
      <c r="S24" s="9"/>
      <c r="T24" s="1"/>
      <c r="U24" s="10"/>
      <c r="V24" s="11"/>
      <c r="W24" s="11"/>
      <c r="X24" s="11"/>
      <c r="Y24" s="11"/>
      <c r="Z24" s="11"/>
      <c r="AA24" s="11"/>
      <c r="AB24" s="11"/>
      <c r="AC24" s="11"/>
      <c r="AD24" s="194" t="s">
        <v>71</v>
      </c>
      <c r="AE24" s="194"/>
      <c r="AF24" s="194"/>
      <c r="AG24" s="102"/>
      <c r="AK24" s="2"/>
      <c r="AL24" s="2"/>
      <c r="AN24" s="25"/>
      <c r="AO24" s="2"/>
      <c r="AP24" s="1"/>
      <c r="AQ24" s="55"/>
      <c r="AR24" s="3"/>
      <c r="AS24" s="3"/>
      <c r="AT24" s="98"/>
      <c r="AU24" s="99"/>
    </row>
    <row r="25" spans="1:49" ht="15.75" customHeight="1" x14ac:dyDescent="0.35">
      <c r="A25" s="1"/>
      <c r="B25" s="4"/>
      <c r="C25" s="5"/>
      <c r="D25" s="6"/>
      <c r="E25" s="6"/>
      <c r="F25" s="3"/>
      <c r="G25" s="1"/>
      <c r="H25" s="1"/>
      <c r="I25" s="3"/>
      <c r="J25" s="1"/>
      <c r="K25" s="1"/>
      <c r="L25" s="1"/>
      <c r="M25" s="1"/>
      <c r="N25" s="1"/>
      <c r="O25" s="1"/>
      <c r="P25" s="7"/>
      <c r="Q25" s="7"/>
      <c r="R25" s="8"/>
      <c r="S25" s="9"/>
      <c r="T25" s="1"/>
      <c r="U25" s="10"/>
      <c r="V25" s="11"/>
      <c r="W25" s="11"/>
      <c r="X25" s="11"/>
      <c r="Y25" s="11"/>
      <c r="Z25" s="11"/>
      <c r="AA25" s="11"/>
      <c r="AB25" s="11"/>
      <c r="AC25" s="11"/>
      <c r="AD25" s="45" t="s">
        <v>67</v>
      </c>
      <c r="AE25" s="45" t="s">
        <v>68</v>
      </c>
      <c r="AF25" s="11" t="s">
        <v>66</v>
      </c>
      <c r="AG25" s="45" t="s">
        <v>70</v>
      </c>
      <c r="AK25" s="2"/>
      <c r="AL25" s="2"/>
      <c r="AN25" s="25"/>
      <c r="AO25" s="2"/>
      <c r="AP25" s="1"/>
      <c r="AQ25" s="55"/>
      <c r="AR25" s="3"/>
      <c r="AS25" s="3"/>
      <c r="AT25" s="98"/>
      <c r="AU25" s="99"/>
    </row>
    <row r="26" spans="1:49" ht="15.75" customHeight="1" x14ac:dyDescent="0.35">
      <c r="A26" s="1"/>
      <c r="B26" s="4"/>
      <c r="C26" s="5"/>
      <c r="D26" s="6"/>
      <c r="E26" s="6"/>
      <c r="F26" s="3"/>
      <c r="G26" s="1"/>
      <c r="H26" s="1"/>
      <c r="I26" s="3"/>
      <c r="J26" s="1"/>
      <c r="K26" s="1"/>
      <c r="L26" s="1"/>
      <c r="M26" s="1"/>
      <c r="N26" s="1"/>
      <c r="O26" s="1"/>
      <c r="P26" s="7"/>
      <c r="Q26" s="7"/>
      <c r="R26" s="8"/>
      <c r="S26" s="9"/>
      <c r="T26" s="1"/>
      <c r="U26" s="10"/>
      <c r="V26" s="11"/>
      <c r="W26" s="11"/>
      <c r="X26" s="11"/>
      <c r="Y26" s="11"/>
      <c r="Z26" s="11"/>
      <c r="AA26" s="11"/>
      <c r="AB26" s="11"/>
      <c r="AC26" s="11"/>
      <c r="AD26" s="1">
        <v>6.64</v>
      </c>
      <c r="AE26" s="1">
        <v>6.9</v>
      </c>
      <c r="AF26" s="97">
        <v>5906000000</v>
      </c>
      <c r="AG26" s="1">
        <f>SUM(AF17:AF21)</f>
        <v>69724</v>
      </c>
      <c r="AK26" s="2"/>
      <c r="AL26" s="2"/>
      <c r="AN26" s="25"/>
      <c r="AO26" s="2"/>
      <c r="AP26" s="1"/>
      <c r="AQ26" s="55"/>
      <c r="AR26" s="3"/>
      <c r="AS26" s="3"/>
      <c r="AT26" s="98"/>
      <c r="AU26" s="99"/>
    </row>
    <row r="27" spans="1:49" ht="15.75" customHeight="1" x14ac:dyDescent="0.35">
      <c r="A27" s="1"/>
      <c r="B27" s="4"/>
      <c r="C27" s="5"/>
      <c r="D27" s="6"/>
      <c r="E27" s="6"/>
      <c r="F27" s="3"/>
      <c r="G27" s="1"/>
      <c r="H27" s="1"/>
      <c r="I27" s="3"/>
      <c r="J27" s="1"/>
      <c r="K27" s="1"/>
      <c r="L27" s="1"/>
      <c r="M27" s="1"/>
      <c r="N27" s="1"/>
      <c r="O27" s="1"/>
      <c r="P27" s="7"/>
      <c r="Q27" s="7"/>
      <c r="R27" s="8"/>
      <c r="S27" s="9"/>
      <c r="T27" s="1"/>
      <c r="U27" s="10"/>
      <c r="V27" s="11"/>
      <c r="W27" s="11"/>
      <c r="X27" s="11"/>
      <c r="Y27" s="11"/>
      <c r="Z27" s="11"/>
      <c r="AA27" s="11"/>
      <c r="AB27" s="11"/>
      <c r="AC27" s="11"/>
      <c r="AD27" s="12"/>
      <c r="AK27" s="2"/>
      <c r="AL27" s="2"/>
      <c r="AN27" s="25"/>
      <c r="AO27" s="2"/>
      <c r="AP27" s="1"/>
      <c r="AQ27" s="55"/>
      <c r="AR27" s="3"/>
      <c r="AS27" s="3"/>
      <c r="AT27" s="98"/>
      <c r="AU27" s="99"/>
    </row>
    <row r="28" spans="1:49" ht="15.75" customHeight="1" x14ac:dyDescent="0.35">
      <c r="A28" s="1"/>
      <c r="B28" s="4"/>
      <c r="C28" s="5"/>
      <c r="D28" s="6"/>
      <c r="E28" s="6"/>
      <c r="F28" s="3"/>
      <c r="G28" s="1"/>
      <c r="H28" s="1"/>
      <c r="I28" s="3"/>
      <c r="J28" s="1"/>
      <c r="K28" s="1"/>
      <c r="L28" s="1"/>
      <c r="M28" s="1"/>
      <c r="N28" s="1"/>
      <c r="O28" s="1"/>
      <c r="P28" s="7"/>
      <c r="Q28" s="7"/>
      <c r="R28" s="8"/>
      <c r="S28" s="9"/>
      <c r="T28" s="1"/>
      <c r="U28" s="10"/>
      <c r="V28" s="11"/>
      <c r="W28" s="11"/>
      <c r="X28" s="11"/>
      <c r="Y28" s="11"/>
      <c r="Z28" s="11"/>
      <c r="AA28" s="11"/>
      <c r="AB28" s="11"/>
      <c r="AC28" s="11"/>
      <c r="AD28" s="11"/>
      <c r="AG28" s="105" t="s">
        <v>77</v>
      </c>
      <c r="AH28" s="105" t="s">
        <v>78</v>
      </c>
      <c r="AI28" s="105" t="s">
        <v>66</v>
      </c>
      <c r="AJ28" s="112" t="s">
        <v>81</v>
      </c>
      <c r="AK28" s="2"/>
      <c r="AL28" s="2"/>
      <c r="AN28" s="25"/>
      <c r="AO28" s="2"/>
    </row>
    <row r="29" spans="1:49" ht="15.75" customHeight="1" x14ac:dyDescent="0.35">
      <c r="A29" s="1"/>
      <c r="B29" s="4"/>
      <c r="C29" s="5"/>
      <c r="D29" s="6"/>
      <c r="E29" s="6"/>
      <c r="F29" s="3"/>
      <c r="G29" s="1"/>
      <c r="H29" s="1"/>
      <c r="I29" s="3"/>
      <c r="J29" s="1"/>
      <c r="K29" s="1"/>
      <c r="L29" s="1"/>
      <c r="M29" s="1"/>
      <c r="N29" s="1"/>
      <c r="O29" s="1"/>
      <c r="P29" s="7"/>
      <c r="Q29" s="7"/>
      <c r="R29" s="8"/>
      <c r="S29" s="9"/>
      <c r="T29" s="1"/>
      <c r="U29" s="10"/>
      <c r="V29" s="11"/>
      <c r="W29" s="11"/>
      <c r="X29" s="11"/>
      <c r="Y29" s="11"/>
      <c r="Z29" s="11"/>
      <c r="AA29" s="11"/>
      <c r="AB29" s="11"/>
      <c r="AC29" s="11"/>
      <c r="AD29" s="11"/>
      <c r="AG29" s="103">
        <v>6.64</v>
      </c>
      <c r="AH29" s="103">
        <v>6.9</v>
      </c>
      <c r="AI29" s="113">
        <v>5906000000</v>
      </c>
      <c r="AJ29" s="103">
        <v>69724</v>
      </c>
      <c r="AK29" s="2"/>
      <c r="AL29" s="2"/>
      <c r="AN29" s="25"/>
      <c r="AO29" s="2"/>
    </row>
    <row r="30" spans="1:49" ht="15.5" customHeight="1" x14ac:dyDescent="0.35">
      <c r="AK30" s="2"/>
      <c r="AL30" s="2"/>
      <c r="AN30" s="25"/>
    </row>
    <row r="32" spans="1:49" x14ac:dyDescent="0.35">
      <c r="AD32" s="198" t="s">
        <v>65</v>
      </c>
      <c r="AE32" s="200" t="s">
        <v>82</v>
      </c>
    </row>
    <row r="33" spans="1:40" x14ac:dyDescent="0.35">
      <c r="AD33" s="199"/>
      <c r="AE33" s="200"/>
    </row>
    <row r="34" spans="1:40" x14ac:dyDescent="0.35">
      <c r="AD34" s="101">
        <v>1</v>
      </c>
    </row>
    <row r="35" spans="1:40" x14ac:dyDescent="0.35">
      <c r="AD35" s="106">
        <v>2</v>
      </c>
    </row>
    <row r="36" spans="1:40" ht="15" thickBot="1" x14ac:dyDescent="0.4">
      <c r="AD36" s="101">
        <v>3</v>
      </c>
    </row>
    <row r="37" spans="1:40" x14ac:dyDescent="0.35">
      <c r="A37" s="179" t="s">
        <v>0</v>
      </c>
      <c r="B37" s="179" t="s">
        <v>11</v>
      </c>
      <c r="C37" s="181" t="s">
        <v>3</v>
      </c>
      <c r="D37" s="179" t="s">
        <v>4</v>
      </c>
      <c r="E37" s="183" t="s">
        <v>5</v>
      </c>
      <c r="F37" s="190" t="s">
        <v>6</v>
      </c>
      <c r="G37" s="179" t="s">
        <v>7</v>
      </c>
      <c r="H37" s="190" t="s">
        <v>8</v>
      </c>
      <c r="I37" s="179" t="s">
        <v>9</v>
      </c>
      <c r="K37" s="179" t="s">
        <v>44</v>
      </c>
      <c r="L37" s="183" t="s">
        <v>45</v>
      </c>
      <c r="M37" s="190" t="s">
        <v>46</v>
      </c>
      <c r="N37" s="179" t="s">
        <v>47</v>
      </c>
      <c r="O37" s="190" t="s">
        <v>39</v>
      </c>
      <c r="P37" s="179" t="s">
        <v>40</v>
      </c>
      <c r="AD37" s="106">
        <v>4</v>
      </c>
    </row>
    <row r="38" spans="1:40" ht="15" thickBot="1" x14ac:dyDescent="0.4">
      <c r="A38" s="180"/>
      <c r="B38" s="180"/>
      <c r="C38" s="182"/>
      <c r="D38" s="180"/>
      <c r="E38" s="184"/>
      <c r="F38" s="191"/>
      <c r="G38" s="180"/>
      <c r="H38" s="191"/>
      <c r="I38" s="180"/>
      <c r="K38" s="180"/>
      <c r="L38" s="184"/>
      <c r="M38" s="191"/>
      <c r="N38" s="180"/>
      <c r="O38" s="191"/>
      <c r="P38" s="180"/>
      <c r="AD38" s="101">
        <v>5</v>
      </c>
    </row>
    <row r="39" spans="1:40" x14ac:dyDescent="0.35">
      <c r="A39" s="14">
        <v>0</v>
      </c>
      <c r="B39" s="17">
        <f t="shared" ref="B39:B45" si="9">E5</f>
        <v>1</v>
      </c>
      <c r="C39" s="40">
        <f t="shared" ref="C39:C46" si="10">G5/1000</f>
        <v>14</v>
      </c>
      <c r="D39" s="14">
        <f t="shared" ref="D39:I46" si="11">H5</f>
        <v>2.5299999999999998</v>
      </c>
      <c r="E39" s="15">
        <f t="shared" si="11"/>
        <v>0</v>
      </c>
      <c r="F39" s="15">
        <f t="shared" si="11"/>
        <v>5.98</v>
      </c>
      <c r="G39" s="15">
        <f t="shared" si="11"/>
        <v>0.188</v>
      </c>
      <c r="H39" s="15">
        <f t="shared" si="11"/>
        <v>28</v>
      </c>
      <c r="I39" s="26">
        <f t="shared" si="11"/>
        <v>136</v>
      </c>
      <c r="K39" s="14">
        <f>C39*D39</f>
        <v>35.419999999999995</v>
      </c>
      <c r="L39" s="31">
        <f>E39*C39</f>
        <v>0</v>
      </c>
      <c r="M39" s="31">
        <f>F39*C39</f>
        <v>83.72</v>
      </c>
      <c r="N39" s="31">
        <f>G39*C39</f>
        <v>2.6320000000000001</v>
      </c>
      <c r="O39" s="31">
        <f>H39*C39</f>
        <v>392</v>
      </c>
      <c r="P39" s="32">
        <f>I39*C39</f>
        <v>1904</v>
      </c>
    </row>
    <row r="40" spans="1:40" x14ac:dyDescent="0.35">
      <c r="A40" s="16">
        <v>1</v>
      </c>
      <c r="B40" s="18">
        <f t="shared" si="9"/>
        <v>18.5</v>
      </c>
      <c r="C40" s="41">
        <f t="shared" si="10"/>
        <v>14</v>
      </c>
      <c r="D40" s="16">
        <f t="shared" si="11"/>
        <v>2.44</v>
      </c>
      <c r="E40" s="1">
        <f t="shared" si="11"/>
        <v>3.5999999999999997E-2</v>
      </c>
      <c r="F40" s="1">
        <f t="shared" si="11"/>
        <v>5.59</v>
      </c>
      <c r="G40" s="1">
        <f t="shared" si="11"/>
        <v>0.24399999999999999</v>
      </c>
      <c r="H40" s="1">
        <f t="shared" si="11"/>
        <v>27</v>
      </c>
      <c r="I40" s="27">
        <f t="shared" si="11"/>
        <v>134</v>
      </c>
      <c r="K40" s="16">
        <f t="shared" ref="K40:K45" si="12">C40*D40</f>
        <v>34.159999999999997</v>
      </c>
      <c r="L40">
        <f t="shared" ref="L40:L45" si="13">E40*C40</f>
        <v>0.504</v>
      </c>
      <c r="M40">
        <f t="shared" ref="M40:M45" si="14">F40*C40</f>
        <v>78.259999999999991</v>
      </c>
      <c r="N40">
        <f t="shared" ref="N40:N44" si="15">G40*C40</f>
        <v>3.4159999999999999</v>
      </c>
      <c r="O40">
        <f t="shared" ref="O40:O45" si="16">H40*C40</f>
        <v>378</v>
      </c>
      <c r="P40" s="33">
        <f t="shared" ref="P40:P45" si="17">I40*C40</f>
        <v>1876</v>
      </c>
    </row>
    <row r="41" spans="1:40" ht="15" thickBot="1" x14ac:dyDescent="0.4">
      <c r="A41" s="16">
        <v>2</v>
      </c>
      <c r="B41" s="18">
        <f t="shared" si="9"/>
        <v>45</v>
      </c>
      <c r="C41" s="41">
        <f t="shared" si="10"/>
        <v>14</v>
      </c>
      <c r="D41" s="16">
        <f t="shared" si="11"/>
        <v>2.38</v>
      </c>
      <c r="E41" s="1">
        <f t="shared" si="11"/>
        <v>8.3000000000000004E-2</v>
      </c>
      <c r="F41" s="1">
        <f t="shared" si="11"/>
        <v>5.5</v>
      </c>
      <c r="G41" s="1">
        <f t="shared" si="11"/>
        <v>0.20300000000000001</v>
      </c>
      <c r="H41" s="1">
        <f t="shared" si="11"/>
        <v>45</v>
      </c>
      <c r="I41" s="27">
        <f t="shared" si="11"/>
        <v>140</v>
      </c>
      <c r="K41" s="16">
        <f t="shared" si="12"/>
        <v>33.32</v>
      </c>
      <c r="L41">
        <f t="shared" si="13"/>
        <v>1.1620000000000001</v>
      </c>
      <c r="M41">
        <f t="shared" si="14"/>
        <v>77</v>
      </c>
      <c r="N41">
        <f t="shared" si="15"/>
        <v>2.8420000000000001</v>
      </c>
      <c r="O41">
        <f t="shared" si="16"/>
        <v>630</v>
      </c>
      <c r="P41" s="33">
        <f t="shared" si="17"/>
        <v>1960</v>
      </c>
      <c r="AG41" s="174" t="s">
        <v>83</v>
      </c>
      <c r="AH41" s="174"/>
      <c r="AI41" s="174"/>
      <c r="AJ41" s="174"/>
      <c r="AK41" s="174"/>
      <c r="AL41" s="174"/>
      <c r="AM41" s="174"/>
      <c r="AN41" s="174"/>
    </row>
    <row r="42" spans="1:40" ht="15" thickBot="1" x14ac:dyDescent="0.4">
      <c r="A42" s="19">
        <v>3</v>
      </c>
      <c r="B42" s="51">
        <f t="shared" si="9"/>
        <v>64.5</v>
      </c>
      <c r="C42" s="36">
        <f t="shared" si="10"/>
        <v>14</v>
      </c>
      <c r="D42" s="19">
        <f t="shared" si="11"/>
        <v>2.25</v>
      </c>
      <c r="E42" s="20">
        <f t="shared" si="11"/>
        <v>0.104</v>
      </c>
      <c r="F42" s="20">
        <f t="shared" si="11"/>
        <v>5.07</v>
      </c>
      <c r="G42" s="20">
        <f t="shared" si="11"/>
        <v>0.215</v>
      </c>
      <c r="H42" s="20">
        <f t="shared" si="11"/>
        <v>40</v>
      </c>
      <c r="I42" s="28">
        <f t="shared" si="11"/>
        <v>140</v>
      </c>
      <c r="K42" s="19">
        <f t="shared" si="12"/>
        <v>31.5</v>
      </c>
      <c r="L42" s="38">
        <f t="shared" si="13"/>
        <v>1.456</v>
      </c>
      <c r="M42" s="38">
        <f t="shared" si="14"/>
        <v>70.98</v>
      </c>
      <c r="N42" s="38">
        <f t="shared" si="15"/>
        <v>3.01</v>
      </c>
      <c r="O42" s="38">
        <f t="shared" si="16"/>
        <v>560</v>
      </c>
      <c r="P42" s="39">
        <f t="shared" si="17"/>
        <v>1960</v>
      </c>
    </row>
    <row r="43" spans="1:40" ht="15" thickBot="1" x14ac:dyDescent="0.4">
      <c r="A43" s="21">
        <v>4</v>
      </c>
      <c r="B43" s="52">
        <f t="shared" si="9"/>
        <v>71.75</v>
      </c>
      <c r="C43" s="34">
        <f t="shared" si="10"/>
        <v>14.5</v>
      </c>
      <c r="D43" s="21">
        <f t="shared" si="11"/>
        <v>2.83</v>
      </c>
      <c r="E43" s="44">
        <f t="shared" si="11"/>
        <v>0</v>
      </c>
      <c r="F43" s="44">
        <f t="shared" si="11"/>
        <v>4.3600000000000003</v>
      </c>
      <c r="G43" s="44">
        <f t="shared" si="11"/>
        <v>0.48799999999999999</v>
      </c>
      <c r="H43" s="44">
        <f t="shared" si="11"/>
        <v>21</v>
      </c>
      <c r="I43" s="29">
        <f t="shared" si="11"/>
        <v>120</v>
      </c>
      <c r="K43" s="21">
        <f t="shared" si="12"/>
        <v>41.035000000000004</v>
      </c>
      <c r="L43" s="43">
        <f t="shared" si="13"/>
        <v>0</v>
      </c>
      <c r="M43" s="43">
        <f t="shared" si="14"/>
        <v>63.220000000000006</v>
      </c>
      <c r="N43" s="43">
        <f t="shared" si="15"/>
        <v>7.0759999999999996</v>
      </c>
      <c r="O43" s="43">
        <f t="shared" si="16"/>
        <v>304.5</v>
      </c>
      <c r="P43" s="37">
        <f t="shared" si="17"/>
        <v>1740</v>
      </c>
      <c r="AG43" s="175" t="s">
        <v>84</v>
      </c>
      <c r="AH43" s="176"/>
    </row>
    <row r="44" spans="1:40" x14ac:dyDescent="0.35">
      <c r="A44" s="21">
        <v>5</v>
      </c>
      <c r="B44" s="52">
        <f t="shared" si="9"/>
        <v>94.5</v>
      </c>
      <c r="C44" s="34">
        <f t="shared" si="10"/>
        <v>14.5</v>
      </c>
      <c r="D44" s="21">
        <f t="shared" si="11"/>
        <v>2.76</v>
      </c>
      <c r="E44" s="44">
        <f t="shared" si="11"/>
        <v>2.5999999999999999E-2</v>
      </c>
      <c r="F44" s="44">
        <f t="shared" si="11"/>
        <v>4.8</v>
      </c>
      <c r="G44" s="44">
        <f t="shared" si="11"/>
        <v>0.495</v>
      </c>
      <c r="H44" s="44">
        <f t="shared" si="11"/>
        <v>20</v>
      </c>
      <c r="I44" s="29">
        <f t="shared" si="11"/>
        <v>127</v>
      </c>
      <c r="K44" s="21">
        <f t="shared" si="12"/>
        <v>40.019999999999996</v>
      </c>
      <c r="L44" s="43">
        <f t="shared" si="13"/>
        <v>0.377</v>
      </c>
      <c r="M44" s="43">
        <f t="shared" si="14"/>
        <v>69.599999999999994</v>
      </c>
      <c r="N44" s="43">
        <f t="shared" si="15"/>
        <v>7.1775000000000002</v>
      </c>
      <c r="O44" s="43">
        <f t="shared" si="16"/>
        <v>290</v>
      </c>
      <c r="P44" s="37">
        <f t="shared" si="17"/>
        <v>1841.5</v>
      </c>
      <c r="AG44" s="123" t="s">
        <v>85</v>
      </c>
      <c r="AH44" s="124" t="s">
        <v>86</v>
      </c>
    </row>
    <row r="45" spans="1:40" ht="15" thickBot="1" x14ac:dyDescent="0.4">
      <c r="A45" s="22">
        <v>6</v>
      </c>
      <c r="B45" s="53">
        <f t="shared" si="9"/>
        <v>113.75</v>
      </c>
      <c r="C45" s="35">
        <f t="shared" si="10"/>
        <v>14.5</v>
      </c>
      <c r="D45" s="22">
        <f t="shared" si="11"/>
        <v>2.74</v>
      </c>
      <c r="E45" s="23">
        <f t="shared" si="11"/>
        <v>5.1999999999999998E-2</v>
      </c>
      <c r="F45" s="23">
        <f t="shared" si="11"/>
        <v>4.16</v>
      </c>
      <c r="G45" s="23">
        <f t="shared" si="11"/>
        <v>0.41599999999999998</v>
      </c>
      <c r="H45" s="23">
        <f t="shared" si="11"/>
        <v>30</v>
      </c>
      <c r="I45" s="30">
        <f t="shared" si="11"/>
        <v>135</v>
      </c>
      <c r="K45" s="22">
        <f t="shared" si="12"/>
        <v>39.730000000000004</v>
      </c>
      <c r="L45" s="49">
        <f t="shared" si="13"/>
        <v>0.754</v>
      </c>
      <c r="M45" s="49">
        <f t="shared" si="14"/>
        <v>60.32</v>
      </c>
      <c r="N45" s="49">
        <f>G45*C45</f>
        <v>6.032</v>
      </c>
      <c r="O45" s="49">
        <f t="shared" si="16"/>
        <v>435</v>
      </c>
      <c r="P45" s="50">
        <f t="shared" si="17"/>
        <v>1957.5</v>
      </c>
      <c r="AG45" s="125" t="s">
        <v>103</v>
      </c>
      <c r="AH45" s="126">
        <v>21250</v>
      </c>
    </row>
    <row r="46" spans="1:40" ht="15" thickBot="1" x14ac:dyDescent="0.4">
      <c r="A46" s="22">
        <v>7</v>
      </c>
      <c r="B46" s="53">
        <f t="shared" ref="B46" si="18">E12</f>
        <v>166.5</v>
      </c>
      <c r="C46" s="35">
        <f t="shared" si="10"/>
        <v>14.5</v>
      </c>
      <c r="D46" s="22">
        <f t="shared" si="11"/>
        <v>2.4700000000000002</v>
      </c>
      <c r="E46" s="23">
        <f t="shared" si="11"/>
        <v>0.17499999999999999</v>
      </c>
      <c r="F46" s="23">
        <f t="shared" si="11"/>
        <v>3.09</v>
      </c>
      <c r="G46" s="23">
        <f t="shared" si="11"/>
        <v>0.68799999999999994</v>
      </c>
      <c r="H46" s="23">
        <f t="shared" si="11"/>
        <v>45</v>
      </c>
      <c r="I46" s="30">
        <f t="shared" si="11"/>
        <v>126</v>
      </c>
      <c r="K46" s="22">
        <f t="shared" ref="K46" si="19">C46*D46</f>
        <v>35.815000000000005</v>
      </c>
      <c r="L46" s="49">
        <f t="shared" ref="L46" si="20">E46*C46</f>
        <v>2.5374999999999996</v>
      </c>
      <c r="M46" s="49">
        <f t="shared" ref="M46" si="21">F46*C46</f>
        <v>44.805</v>
      </c>
      <c r="N46" s="49">
        <f>G46*C46</f>
        <v>9.9759999999999991</v>
      </c>
      <c r="O46" s="49">
        <f t="shared" ref="O46" si="22">H46*C46</f>
        <v>652.5</v>
      </c>
      <c r="P46" s="50">
        <f t="shared" ref="P46" si="23">I46*C46</f>
        <v>1827</v>
      </c>
      <c r="AG46" s="125" t="s">
        <v>87</v>
      </c>
      <c r="AH46" s="127">
        <v>2.6</v>
      </c>
    </row>
    <row r="47" spans="1:40" x14ac:dyDescent="0.35">
      <c r="AG47" s="125" t="s">
        <v>88</v>
      </c>
      <c r="AH47" s="127">
        <v>8.33</v>
      </c>
    </row>
    <row r="48" spans="1:40" x14ac:dyDescent="0.35">
      <c r="O48" t="s">
        <v>15</v>
      </c>
      <c r="AG48" s="125" t="s">
        <v>89</v>
      </c>
      <c r="AH48" s="127">
        <v>9.0500000000000007</v>
      </c>
    </row>
    <row r="49" spans="33:45" x14ac:dyDescent="0.35">
      <c r="AG49" s="125" t="s">
        <v>90</v>
      </c>
      <c r="AH49" s="127">
        <v>7</v>
      </c>
    </row>
    <row r="50" spans="33:45" x14ac:dyDescent="0.35">
      <c r="AG50" s="125" t="s">
        <v>91</v>
      </c>
      <c r="AH50" s="127">
        <v>7.13</v>
      </c>
    </row>
    <row r="51" spans="33:45" ht="18.5" x14ac:dyDescent="0.35">
      <c r="AG51" s="125" t="s">
        <v>92</v>
      </c>
      <c r="AH51" s="133">
        <f>SUM(AH47:AH50)</f>
        <v>31.51</v>
      </c>
    </row>
    <row r="52" spans="33:45" x14ac:dyDescent="0.35">
      <c r="AG52" s="177" t="s">
        <v>109</v>
      </c>
      <c r="AH52" s="169">
        <v>6.54</v>
      </c>
    </row>
    <row r="53" spans="33:45" ht="15" thickBot="1" x14ac:dyDescent="0.4">
      <c r="AG53" s="178"/>
      <c r="AH53" s="170"/>
    </row>
    <row r="55" spans="33:45" x14ac:dyDescent="0.35">
      <c r="AJ55" s="171" t="s">
        <v>65</v>
      </c>
      <c r="AK55" s="160" t="s">
        <v>102</v>
      </c>
      <c r="AL55" s="160" t="s">
        <v>96</v>
      </c>
      <c r="AM55" s="160" t="s">
        <v>99</v>
      </c>
      <c r="AN55" s="160" t="s">
        <v>97</v>
      </c>
      <c r="AO55" s="160" t="s">
        <v>98</v>
      </c>
      <c r="AP55" s="160" t="s">
        <v>100</v>
      </c>
      <c r="AQ55" s="160" t="s">
        <v>105</v>
      </c>
      <c r="AR55" s="160" t="s">
        <v>101</v>
      </c>
      <c r="AS55" s="160" t="s">
        <v>35</v>
      </c>
    </row>
    <row r="56" spans="33:45" ht="15" thickBot="1" x14ac:dyDescent="0.4">
      <c r="AJ56" s="171"/>
      <c r="AK56" s="160"/>
      <c r="AL56" s="160"/>
      <c r="AM56" s="160"/>
      <c r="AN56" s="160"/>
      <c r="AO56" s="160"/>
      <c r="AP56" s="160"/>
      <c r="AQ56" s="160"/>
      <c r="AR56" s="160"/>
      <c r="AS56" s="160"/>
    </row>
    <row r="57" spans="33:45" ht="15" thickBot="1" x14ac:dyDescent="0.4">
      <c r="AG57" s="172" t="s">
        <v>104</v>
      </c>
      <c r="AH57" s="173"/>
      <c r="AJ57" s="114">
        <v>1</v>
      </c>
      <c r="AK57" s="94">
        <v>3.5</v>
      </c>
      <c r="AL57" s="94">
        <v>6.48</v>
      </c>
      <c r="AM57" s="115">
        <f>AK57*POWER(10,AL57)</f>
        <v>10569831.021407079</v>
      </c>
      <c r="AN57" s="103">
        <v>14376</v>
      </c>
      <c r="AO57" s="95">
        <v>6.5</v>
      </c>
      <c r="AP57" s="115">
        <f>AN57*POWER(10,AO57)</f>
        <v>45460903642.580704</v>
      </c>
      <c r="AQ57" s="130">
        <f>(AP57)/(AR57*85000)</f>
        <v>8356.7837578273356</v>
      </c>
      <c r="AR57" s="94">
        <v>64</v>
      </c>
      <c r="AS57" s="116">
        <f>(AP57*100)/AM57</f>
        <v>430100.5716222779</v>
      </c>
    </row>
    <row r="58" spans="33:45" x14ac:dyDescent="0.35">
      <c r="AG58" s="128" t="s">
        <v>85</v>
      </c>
      <c r="AH58" s="124" t="s">
        <v>93</v>
      </c>
      <c r="AJ58" s="117">
        <v>2</v>
      </c>
      <c r="AK58" s="118">
        <v>14400</v>
      </c>
      <c r="AL58" s="118">
        <v>5.74</v>
      </c>
      <c r="AM58" s="119">
        <f t="shared" ref="AM58:AM61" si="24">AK58*POWER(10,AL58)</f>
        <v>7913388583.5498095</v>
      </c>
      <c r="AN58" s="120">
        <v>14298</v>
      </c>
      <c r="AO58" s="121">
        <v>6.89</v>
      </c>
      <c r="AP58" s="119">
        <f t="shared" ref="AP58:AP61" si="25">AN58*POWER(10,AO58)</f>
        <v>110987812735.57033</v>
      </c>
      <c r="AQ58" s="131">
        <f t="shared" ref="AQ58:AQ61" si="26">(AP58)/(AR58*85000)</f>
        <v>13461.226529480937</v>
      </c>
      <c r="AR58" s="118">
        <v>97</v>
      </c>
      <c r="AS58" s="122">
        <f t="shared" ref="AS58:AS61" si="27">(AP58*100)/AM58</f>
        <v>1402.5320703483401</v>
      </c>
    </row>
    <row r="59" spans="33:45" x14ac:dyDescent="0.35">
      <c r="AG59" s="129" t="s">
        <v>103</v>
      </c>
      <c r="AH59" s="126">
        <v>85000</v>
      </c>
      <c r="AJ59" s="114">
        <v>3</v>
      </c>
      <c r="AK59" s="94">
        <v>14300</v>
      </c>
      <c r="AL59" s="94">
        <v>3.66</v>
      </c>
      <c r="AM59" s="115">
        <f t="shared" si="24"/>
        <v>65363611.114927173</v>
      </c>
      <c r="AN59" s="103">
        <v>13838</v>
      </c>
      <c r="AO59" s="95">
        <v>7.32</v>
      </c>
      <c r="AP59" s="115">
        <f t="shared" si="25"/>
        <v>289116798587.58234</v>
      </c>
      <c r="AQ59" s="130">
        <f t="shared" si="26"/>
        <v>52328.832323544317</v>
      </c>
      <c r="AR59" s="94">
        <v>65</v>
      </c>
      <c r="AS59" s="116">
        <f t="shared" si="27"/>
        <v>442320.72502731776</v>
      </c>
    </row>
    <row r="60" spans="33:45" x14ac:dyDescent="0.35">
      <c r="AG60" s="129" t="s">
        <v>87</v>
      </c>
      <c r="AH60" s="127">
        <v>8</v>
      </c>
      <c r="AJ60" s="117">
        <v>4</v>
      </c>
      <c r="AK60" s="118">
        <v>600</v>
      </c>
      <c r="AL60" s="118">
        <v>7.32</v>
      </c>
      <c r="AM60" s="119">
        <f t="shared" si="24"/>
        <v>12535776785.12425</v>
      </c>
      <c r="AN60" s="120">
        <v>14012</v>
      </c>
      <c r="AO60" s="121">
        <v>6.66</v>
      </c>
      <c r="AP60" s="119">
        <f t="shared" si="25"/>
        <v>64047197128.836426</v>
      </c>
      <c r="AQ60" s="131">
        <f t="shared" si="26"/>
        <v>7952.4689900774702</v>
      </c>
      <c r="AR60" s="118">
        <v>94.75</v>
      </c>
      <c r="AS60" s="122">
        <f t="shared" si="27"/>
        <v>510.91526457968604</v>
      </c>
    </row>
    <row r="61" spans="33:45" x14ac:dyDescent="0.35">
      <c r="AG61" s="129" t="s">
        <v>88</v>
      </c>
      <c r="AH61" s="127">
        <v>14.375999999999999</v>
      </c>
      <c r="AJ61" s="114">
        <v>5</v>
      </c>
      <c r="AK61" s="94">
        <v>600</v>
      </c>
      <c r="AL61" s="94">
        <v>6.66</v>
      </c>
      <c r="AM61" s="115">
        <f t="shared" si="24"/>
        <v>2742529137.6892557</v>
      </c>
      <c r="AN61" s="103">
        <v>13200</v>
      </c>
      <c r="AO61" s="95">
        <v>6.58</v>
      </c>
      <c r="AP61" s="115">
        <f t="shared" si="25"/>
        <v>50185000314.314133</v>
      </c>
      <c r="AQ61" s="130">
        <f t="shared" si="26"/>
        <v>8434.4538343385102</v>
      </c>
      <c r="AR61" s="94">
        <v>70</v>
      </c>
      <c r="AS61" s="116">
        <f t="shared" si="27"/>
        <v>1829.8802964258743</v>
      </c>
    </row>
    <row r="62" spans="33:45" x14ac:dyDescent="0.35">
      <c r="AG62" s="129" t="s">
        <v>89</v>
      </c>
      <c r="AH62" s="127">
        <v>14.298</v>
      </c>
    </row>
    <row r="63" spans="33:45" x14ac:dyDescent="0.35">
      <c r="AG63" s="129" t="s">
        <v>90</v>
      </c>
      <c r="AH63" s="127">
        <v>13.837999999999999</v>
      </c>
    </row>
    <row r="64" spans="33:45" x14ac:dyDescent="0.35">
      <c r="AG64" s="129" t="s">
        <v>91</v>
      </c>
      <c r="AH64" s="127">
        <v>14.012</v>
      </c>
    </row>
    <row r="65" spans="33:40" x14ac:dyDescent="0.35">
      <c r="AG65" s="129" t="s">
        <v>94</v>
      </c>
      <c r="AH65" s="127">
        <v>13.2</v>
      </c>
    </row>
    <row r="66" spans="33:40" ht="18.5" x14ac:dyDescent="0.45">
      <c r="AG66" s="129" t="s">
        <v>95</v>
      </c>
      <c r="AH66" s="134">
        <f>SUM(AH61:AH65)</f>
        <v>69.724000000000004</v>
      </c>
    </row>
    <row r="67" spans="33:40" x14ac:dyDescent="0.35">
      <c r="AG67" s="167" t="s">
        <v>109</v>
      </c>
      <c r="AH67" s="169">
        <v>6.9</v>
      </c>
      <c r="AK67" s="171" t="s">
        <v>65</v>
      </c>
      <c r="AL67" s="160" t="s">
        <v>99</v>
      </c>
      <c r="AM67" s="160" t="s">
        <v>100</v>
      </c>
      <c r="AN67" s="160" t="s">
        <v>105</v>
      </c>
    </row>
    <row r="68" spans="33:40" ht="15" thickBot="1" x14ac:dyDescent="0.4">
      <c r="AG68" s="168"/>
      <c r="AH68" s="170"/>
      <c r="AK68" s="171"/>
      <c r="AL68" s="160"/>
      <c r="AM68" s="160"/>
      <c r="AN68" s="160"/>
    </row>
    <row r="69" spans="33:40" x14ac:dyDescent="0.35">
      <c r="AK69" s="114">
        <v>1</v>
      </c>
      <c r="AL69" s="115">
        <v>10569831.021407079</v>
      </c>
      <c r="AM69" s="115">
        <v>45460903642.580704</v>
      </c>
      <c r="AN69" s="130">
        <v>8356.7837578273356</v>
      </c>
    </row>
    <row r="70" spans="33:40" x14ac:dyDescent="0.35">
      <c r="AK70" s="117">
        <v>2</v>
      </c>
      <c r="AL70" s="119">
        <v>7913388583.5498095</v>
      </c>
      <c r="AM70" s="119">
        <v>110987812735.57033</v>
      </c>
      <c r="AN70" s="131">
        <v>13461.226529480937</v>
      </c>
    </row>
    <row r="71" spans="33:40" x14ac:dyDescent="0.35">
      <c r="AK71" s="114">
        <v>3</v>
      </c>
      <c r="AL71" s="115">
        <v>65363611.114927173</v>
      </c>
      <c r="AM71" s="115">
        <v>289116798587.58234</v>
      </c>
      <c r="AN71" s="130">
        <v>52328.832323544317</v>
      </c>
    </row>
    <row r="72" spans="33:40" ht="15" thickBot="1" x14ac:dyDescent="0.4">
      <c r="AK72" s="117">
        <v>4</v>
      </c>
      <c r="AL72" s="119">
        <v>12535776785.12425</v>
      </c>
      <c r="AM72" s="119">
        <v>64047197128.836426</v>
      </c>
      <c r="AN72" s="131">
        <v>7952.4689900774702</v>
      </c>
    </row>
    <row r="73" spans="33:40" ht="15" thickBot="1" x14ac:dyDescent="0.4">
      <c r="AG73" s="161" t="s">
        <v>106</v>
      </c>
      <c r="AH73" s="162"/>
      <c r="AK73" s="114">
        <v>5</v>
      </c>
      <c r="AL73" s="115">
        <v>2742529137.6892557</v>
      </c>
      <c r="AM73" s="115">
        <v>50185000314.314133</v>
      </c>
      <c r="AN73" s="130">
        <v>8434.4538343385102</v>
      </c>
    </row>
    <row r="74" spans="33:40" x14ac:dyDescent="0.35">
      <c r="AG74" s="135" t="s">
        <v>85</v>
      </c>
      <c r="AH74" s="124" t="s">
        <v>107</v>
      </c>
    </row>
    <row r="75" spans="33:40" x14ac:dyDescent="0.35">
      <c r="AG75" s="136" t="s">
        <v>103</v>
      </c>
      <c r="AH75" s="126">
        <v>37920</v>
      </c>
    </row>
    <row r="76" spans="33:40" x14ac:dyDescent="0.35">
      <c r="AG76" s="136" t="s">
        <v>87</v>
      </c>
      <c r="AH76" s="127" t="s">
        <v>108</v>
      </c>
    </row>
    <row r="77" spans="33:40" x14ac:dyDescent="0.35">
      <c r="AG77" s="136" t="s">
        <v>88</v>
      </c>
      <c r="AH77" s="127">
        <v>21</v>
      </c>
    </row>
    <row r="78" spans="33:40" x14ac:dyDescent="0.35">
      <c r="AG78" s="136" t="s">
        <v>89</v>
      </c>
      <c r="AH78" s="127">
        <v>21</v>
      </c>
    </row>
    <row r="79" spans="33:40" x14ac:dyDescent="0.35">
      <c r="AG79" s="136" t="s">
        <v>90</v>
      </c>
      <c r="AH79" s="127">
        <v>21</v>
      </c>
    </row>
    <row r="80" spans="33:40" x14ac:dyDescent="0.35">
      <c r="AG80" s="136" t="s">
        <v>91</v>
      </c>
      <c r="AH80" s="127">
        <v>21</v>
      </c>
    </row>
    <row r="81" spans="33:36" ht="18.5" x14ac:dyDescent="0.35">
      <c r="AG81" s="137" t="s">
        <v>92</v>
      </c>
      <c r="AH81" s="132">
        <f>SUM(AH77:AH80)</f>
        <v>84</v>
      </c>
    </row>
    <row r="82" spans="33:36" x14ac:dyDescent="0.35">
      <c r="AG82" s="163" t="s">
        <v>109</v>
      </c>
      <c r="AH82" s="165">
        <v>7.44</v>
      </c>
    </row>
    <row r="83" spans="33:36" ht="15" thickBot="1" x14ac:dyDescent="0.4">
      <c r="AG83" s="164"/>
      <c r="AH83" s="166"/>
    </row>
    <row r="86" spans="33:36" ht="15" thickBot="1" x14ac:dyDescent="0.4"/>
    <row r="87" spans="33:36" ht="15" thickBot="1" x14ac:dyDescent="0.4">
      <c r="AG87" s="155" t="s">
        <v>110</v>
      </c>
      <c r="AH87" s="156"/>
      <c r="AI87" s="156"/>
      <c r="AJ87" s="157"/>
    </row>
    <row r="88" spans="33:36" x14ac:dyDescent="0.35">
      <c r="AG88" s="158" t="s">
        <v>85</v>
      </c>
      <c r="AH88" s="151" t="s">
        <v>113</v>
      </c>
      <c r="AI88" s="151" t="s">
        <v>114</v>
      </c>
      <c r="AJ88" s="153" t="s">
        <v>115</v>
      </c>
    </row>
    <row r="89" spans="33:36" x14ac:dyDescent="0.35">
      <c r="AG89" s="159"/>
      <c r="AH89" s="152"/>
      <c r="AI89" s="152"/>
      <c r="AJ89" s="154"/>
    </row>
    <row r="90" spans="33:36" x14ac:dyDescent="0.35">
      <c r="AG90" s="142" t="s">
        <v>111</v>
      </c>
      <c r="AH90" s="138">
        <v>31510</v>
      </c>
      <c r="AI90" s="138">
        <v>21250</v>
      </c>
      <c r="AJ90" s="139">
        <f>AH90/AI90</f>
        <v>1.4828235294117647</v>
      </c>
    </row>
    <row r="91" spans="33:36" x14ac:dyDescent="0.35">
      <c r="AG91" s="142" t="s">
        <v>112</v>
      </c>
      <c r="AH91" s="138">
        <v>69724</v>
      </c>
      <c r="AI91" s="138">
        <v>85000</v>
      </c>
      <c r="AJ91" s="139">
        <f>AH91/AI91</f>
        <v>0.82028235294117646</v>
      </c>
    </row>
    <row r="92" spans="33:36" ht="15" thickBot="1" x14ac:dyDescent="0.4">
      <c r="AG92" s="143" t="s">
        <v>107</v>
      </c>
      <c r="AH92" s="140">
        <v>84000</v>
      </c>
      <c r="AI92" s="140">
        <v>37920</v>
      </c>
      <c r="AJ92" s="141">
        <f t="shared" ref="AJ92" si="28">AH92/AI92</f>
        <v>2.2151898734177213</v>
      </c>
    </row>
  </sheetData>
  <mergeCells count="115">
    <mergeCell ref="N2:Q2"/>
    <mergeCell ref="A3:A4"/>
    <mergeCell ref="B3:B4"/>
    <mergeCell ref="C3:C4"/>
    <mergeCell ref="D3:D4"/>
    <mergeCell ref="E3:E4"/>
    <mergeCell ref="A1:D2"/>
    <mergeCell ref="E1:K1"/>
    <mergeCell ref="H2:M2"/>
    <mergeCell ref="F3:F4"/>
    <mergeCell ref="G3:G4"/>
    <mergeCell ref="M3:M4"/>
    <mergeCell ref="H3:H4"/>
    <mergeCell ref="I3:I4"/>
    <mergeCell ref="J3:J4"/>
    <mergeCell ref="K3:K4"/>
    <mergeCell ref="L3:L4"/>
    <mergeCell ref="P3:P4"/>
    <mergeCell ref="AM3:AN4"/>
    <mergeCell ref="AO3:AQ8"/>
    <mergeCell ref="AG4:AH4"/>
    <mergeCell ref="AJ4:AK4"/>
    <mergeCell ref="W7:AD7"/>
    <mergeCell ref="AG7:AH7"/>
    <mergeCell ref="W6:AD6"/>
    <mergeCell ref="AG6:AH6"/>
    <mergeCell ref="AJ6:AK6"/>
    <mergeCell ref="AJ7:AK7"/>
    <mergeCell ref="W8:AD8"/>
    <mergeCell ref="AG8:AH8"/>
    <mergeCell ref="AJ8:AK8"/>
    <mergeCell ref="W9:AD9"/>
    <mergeCell ref="AG9:AH9"/>
    <mergeCell ref="AJ9:AK9"/>
    <mergeCell ref="W10:AD10"/>
    <mergeCell ref="AL10:AL12"/>
    <mergeCell ref="W12:AD12"/>
    <mergeCell ref="O3:O4"/>
    <mergeCell ref="N3:N4"/>
    <mergeCell ref="Q3:Q4"/>
    <mergeCell ref="V3:V4"/>
    <mergeCell ref="S3:S4"/>
    <mergeCell ref="T3:T4"/>
    <mergeCell ref="U3:U4"/>
    <mergeCell ref="R3:R4"/>
    <mergeCell ref="W3:AD4"/>
    <mergeCell ref="AG3:AK3"/>
    <mergeCell ref="W5:AD5"/>
    <mergeCell ref="AE5:AF5"/>
    <mergeCell ref="AG5:AH5"/>
    <mergeCell ref="AJ5:AK5"/>
    <mergeCell ref="AM10:AM12"/>
    <mergeCell ref="AN10:AN12"/>
    <mergeCell ref="W11:AD11"/>
    <mergeCell ref="F37:F38"/>
    <mergeCell ref="AT16:AT17"/>
    <mergeCell ref="AP16:AP17"/>
    <mergeCell ref="AQ16:AQ17"/>
    <mergeCell ref="AR16:AR17"/>
    <mergeCell ref="N37:N38"/>
    <mergeCell ref="O37:O38"/>
    <mergeCell ref="P37:P38"/>
    <mergeCell ref="G37:G38"/>
    <mergeCell ref="H37:H38"/>
    <mergeCell ref="I37:I38"/>
    <mergeCell ref="K37:K38"/>
    <mergeCell ref="L37:L38"/>
    <mergeCell ref="AD14:AK14"/>
    <mergeCell ref="AU16:AU17"/>
    <mergeCell ref="AV16:AV17"/>
    <mergeCell ref="AW16:AW17"/>
    <mergeCell ref="AS16:AS17"/>
    <mergeCell ref="M37:M38"/>
    <mergeCell ref="AF15:AF16"/>
    <mergeCell ref="AD24:AF24"/>
    <mergeCell ref="AJ15:AK15"/>
    <mergeCell ref="AG15:AI15"/>
    <mergeCell ref="AD15:AD16"/>
    <mergeCell ref="AE15:AE16"/>
    <mergeCell ref="AD32:AD33"/>
    <mergeCell ref="AE32:AE33"/>
    <mergeCell ref="AG41:AN41"/>
    <mergeCell ref="AG43:AH43"/>
    <mergeCell ref="AG52:AG53"/>
    <mergeCell ref="AH52:AH53"/>
    <mergeCell ref="A37:A38"/>
    <mergeCell ref="B37:B38"/>
    <mergeCell ref="C37:C38"/>
    <mergeCell ref="D37:D38"/>
    <mergeCell ref="E37:E38"/>
    <mergeCell ref="AQ55:AQ56"/>
    <mergeCell ref="AM55:AM56"/>
    <mergeCell ref="AP55:AP56"/>
    <mergeCell ref="AG57:AH57"/>
    <mergeCell ref="AR55:AR56"/>
    <mergeCell ref="AS55:AS56"/>
    <mergeCell ref="AK55:AK56"/>
    <mergeCell ref="AL55:AL56"/>
    <mergeCell ref="AJ55:AJ56"/>
    <mergeCell ref="AN55:AN56"/>
    <mergeCell ref="AO55:AO56"/>
    <mergeCell ref="AI88:AI89"/>
    <mergeCell ref="AJ88:AJ89"/>
    <mergeCell ref="AG87:AJ87"/>
    <mergeCell ref="AH88:AH89"/>
    <mergeCell ref="AG88:AG89"/>
    <mergeCell ref="AN67:AN68"/>
    <mergeCell ref="AG73:AH73"/>
    <mergeCell ref="AG82:AG83"/>
    <mergeCell ref="AH82:AH83"/>
    <mergeCell ref="AG67:AG68"/>
    <mergeCell ref="AH67:AH68"/>
    <mergeCell ref="AK67:AK68"/>
    <mergeCell ref="AL67:AL68"/>
    <mergeCell ref="AM67:AM68"/>
  </mergeCells>
  <phoneticPr fontId="9" type="noConversion"/>
  <pageMargins left="0.7" right="0.7" top="0.75" bottom="0.75" header="0.3" footer="0.3"/>
  <pageSetup orientation="portrait" r:id="rId1"/>
  <ignoredErrors>
    <ignoredError sqref="AH51 AH66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Cellcube 100 + BIOSTAT 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Ángel Sánchez Alcántara</dc:creator>
  <cp:lastModifiedBy>Rodrigo Yebra</cp:lastModifiedBy>
  <cp:lastPrinted>2024-06-04T23:39:00Z</cp:lastPrinted>
  <dcterms:created xsi:type="dcterms:W3CDTF">2015-06-05T18:19:34Z</dcterms:created>
  <dcterms:modified xsi:type="dcterms:W3CDTF">2026-10-28T19:51:07Z</dcterms:modified>
</cp:coreProperties>
</file>