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avimex-my.sharepoint.com/personal/rodrigo_yebra_labavimex_onmicrosoft_com1/Documents/Escritorio/"/>
    </mc:Choice>
  </mc:AlternateContent>
  <xr:revisionPtr revIDLastSave="2" documentId="8_{9F557CBB-24E0-4FA4-8CE7-364FB5CF6FB9}" xr6:coauthVersionLast="47" xr6:coauthVersionMax="47" xr10:uidLastSave="{F95C84A6-DDB6-4F5C-BE9A-631DCFCEAE92}"/>
  <bookViews>
    <workbookView xWindow="-110" yWindow="-110" windowWidth="19420" windowHeight="10300" xr2:uid="{C9C70E96-9DCA-46AD-81B1-FCC447B81759}"/>
  </bookViews>
  <sheets>
    <sheet name="Registro de datos" sheetId="1" r:id="rId1"/>
    <sheet name="Condens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1" i="1" l="1"/>
  <c r="P30" i="1"/>
  <c r="P29" i="1"/>
  <c r="S24" i="1"/>
  <c r="P24" i="1"/>
  <c r="P43" i="1"/>
  <c r="K44" i="1"/>
  <c r="P44" i="1"/>
  <c r="S44" i="1"/>
  <c r="P42" i="1"/>
  <c r="K42" i="1"/>
  <c r="P39" i="1"/>
  <c r="P37" i="1"/>
  <c r="S35" i="1"/>
  <c r="P35" i="1"/>
  <c r="S36" i="1"/>
  <c r="P36" i="1"/>
  <c r="K36" i="1"/>
  <c r="P33" i="1"/>
  <c r="P23" i="1"/>
  <c r="S18" i="1"/>
  <c r="P18" i="1"/>
  <c r="P17" i="1"/>
  <c r="K10" i="2"/>
  <c r="K9" i="2"/>
  <c r="K8" i="2"/>
  <c r="K7" i="2"/>
  <c r="K6" i="2"/>
  <c r="K5" i="2"/>
  <c r="K4" i="2"/>
  <c r="P38" i="1"/>
  <c r="P31" i="1"/>
  <c r="P22" i="1"/>
  <c r="P16" i="1"/>
  <c r="K32" i="1"/>
  <c r="K26" i="1"/>
  <c r="K21" i="1"/>
  <c r="K15" i="1"/>
  <c r="S6" i="1"/>
  <c r="S7" i="1"/>
  <c r="S8" i="1"/>
  <c r="S9" i="1"/>
  <c r="S10" i="1"/>
  <c r="S12" i="1"/>
  <c r="S13" i="1"/>
  <c r="S15" i="1"/>
  <c r="S21" i="1"/>
  <c r="S25" i="1"/>
  <c r="S28" i="1"/>
  <c r="S32" i="1"/>
  <c r="S40" i="1"/>
  <c r="S5" i="1"/>
  <c r="P41" i="1"/>
  <c r="P40" i="1"/>
  <c r="P34" i="1"/>
  <c r="P32" i="1"/>
  <c r="P28" i="1"/>
  <c r="P25" i="1"/>
  <c r="P21" i="1"/>
  <c r="P15" i="1"/>
  <c r="P13" i="1"/>
  <c r="P12" i="1"/>
  <c r="P10" i="1"/>
  <c r="P9" i="1"/>
  <c r="P8" i="1"/>
  <c r="P7" i="1"/>
  <c r="P6" i="1"/>
  <c r="P5" i="1"/>
</calcChain>
</file>

<file path=xl/sharedStrings.xml><?xml version="1.0" encoding="utf-8"?>
<sst xmlns="http://schemas.openxmlformats.org/spreadsheetml/2006/main" count="289" uniqueCount="77">
  <si>
    <t>UHA</t>
  </si>
  <si>
    <t>DATOS del monitoreo</t>
  </si>
  <si>
    <t>NO</t>
  </si>
  <si>
    <t>FECHA</t>
  </si>
  <si>
    <t>HORA DEL MONITOREO</t>
  </si>
  <si>
    <t>mL</t>
  </si>
  <si>
    <t>h</t>
  </si>
  <si>
    <t xml:space="preserve">VOLUMEN DE OPERACIÓN </t>
  </si>
  <si>
    <t>VOLUMEN DE COSECHA</t>
  </si>
  <si>
    <t>ACTIVIDAD</t>
  </si>
  <si>
    <t>Etapa 0</t>
  </si>
  <si>
    <t>Inicia 1° Perfusión (Etapa 1)</t>
  </si>
  <si>
    <t>Inicia 2° Perfusión (Etapa 2)</t>
  </si>
  <si>
    <t>Inicio del la infección viral (Etapa 0)</t>
  </si>
  <si>
    <t>Lote</t>
  </si>
  <si>
    <t>Alimentación-Perfusión</t>
  </si>
  <si>
    <t>Suplementación</t>
  </si>
  <si>
    <t>Glucosa</t>
  </si>
  <si>
    <t>Lactato</t>
  </si>
  <si>
    <t>Glutamato</t>
  </si>
  <si>
    <t>L-Glutamina</t>
  </si>
  <si>
    <t>g/L</t>
  </si>
  <si>
    <t>mM</t>
  </si>
  <si>
    <t>VVD</t>
  </si>
  <si>
    <t xml:space="preserve">Título viral </t>
  </si>
  <si>
    <t>DICC50%/mL</t>
  </si>
  <si>
    <t>Copias/mL</t>
  </si>
  <si>
    <t>Título viral RT-PCR</t>
  </si>
  <si>
    <t>Sin Dato</t>
  </si>
  <si>
    <t>Log base 10 de "Copias/mL"</t>
  </si>
  <si>
    <t>No aplica</t>
  </si>
  <si>
    <t>1° Monitoreo (Etapa 1)</t>
  </si>
  <si>
    <t>1° Monitoreo (Etapa 0)</t>
  </si>
  <si>
    <t>2° Monitoreo (Etapa 0)</t>
  </si>
  <si>
    <t>3° Monitoreo (Etapa 0)</t>
  </si>
  <si>
    <t>4° Monitoreo (Etapa 0)</t>
  </si>
  <si>
    <t>5° Monitoreo (Etapa 0)</t>
  </si>
  <si>
    <t>Numero de cosecha</t>
  </si>
  <si>
    <t>Tiempo de cosecha (h)</t>
  </si>
  <si>
    <t>Volumen de operación (mL)</t>
  </si>
  <si>
    <t>Volumen cosechado (mL)</t>
  </si>
  <si>
    <t>Glucosa (g/L)</t>
  </si>
  <si>
    <t>L-glutamina (g/L)</t>
  </si>
  <si>
    <t>Lactato (g/L)</t>
  </si>
  <si>
    <t>Título viral (Dicc50%/mL)</t>
  </si>
  <si>
    <t>Etapa</t>
  </si>
  <si>
    <t xml:space="preserve">Inicio </t>
  </si>
  <si>
    <t>Alimentación</t>
  </si>
  <si>
    <t>TIEMPO TOTAL TRANSCURRIDA</t>
  </si>
  <si>
    <t>Etapa 1</t>
  </si>
  <si>
    <t>Etapa 2</t>
  </si>
  <si>
    <t>Etapa intermedia</t>
  </si>
  <si>
    <t>Etapa 3</t>
  </si>
  <si>
    <t>Monitoreo del estado de lote</t>
  </si>
  <si>
    <t>Termina 1° Perfusión (1° Cosecha)</t>
  </si>
  <si>
    <t>Termina 2° Perfusión (2° Cosecha)</t>
  </si>
  <si>
    <t>Inicia el estado de Lote</t>
  </si>
  <si>
    <t>Termina 3° Perfusión (3° Cosecha)</t>
  </si>
  <si>
    <t>Etapa 4</t>
  </si>
  <si>
    <t>Termina 4° Perfusión (4° Cosecha)</t>
  </si>
  <si>
    <t>Inicia el estado de lote</t>
  </si>
  <si>
    <t>Termino de estado de lote</t>
  </si>
  <si>
    <t>Inicia 5° Perfusión (Etapa 5)</t>
  </si>
  <si>
    <t>Etapa 5</t>
  </si>
  <si>
    <t>Termina 5° Perfusión (5° Cosecha)</t>
  </si>
  <si>
    <t>Etapa 6</t>
  </si>
  <si>
    <t>Inicia 6° Perfusión (Etapa 6)</t>
  </si>
  <si>
    <t>1° Monitoreo (Etapa 6)</t>
  </si>
  <si>
    <t>Termina 6° Perfusión (6° Cosecha)</t>
  </si>
  <si>
    <t>Etapa 7</t>
  </si>
  <si>
    <t>Termino de estado de lote (7° Cosecha)</t>
  </si>
  <si>
    <t>Etapa intermedio</t>
  </si>
  <si>
    <t>2° Monitoreo (Etapa 1)</t>
  </si>
  <si>
    <t>Inicia 4° Perfusión (Etapa 4), suplementación</t>
  </si>
  <si>
    <t>ETAPA</t>
  </si>
  <si>
    <t>MODO DE CULTIVO</t>
  </si>
  <si>
    <t xml:space="preserve">Inicia 3° Perfusión (Etapa 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</si>
</sst>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80A]dd&quot; - &quot;mmmm&quot; - &quot;yyyy;@"/>
    <numFmt numFmtId="165" formatCode="[hh]:mm:ss"/>
    <numFmt numFmtId="166" formatCode="0.000"/>
    <numFmt numFmtId="167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98E4-7C66-442E-8137-C653BFB9F2B5}">
  <dimension ref="B2:T63"/>
  <sheetViews>
    <sheetView tabSelected="1" zoomScale="58" workbookViewId="0">
      <selection activeCell="C14" sqref="C14"/>
    </sheetView>
  </sheetViews>
  <sheetFormatPr baseColWidth="10" defaultRowHeight="14.5" x14ac:dyDescent="0.35"/>
  <cols>
    <col min="2" max="2" width="11.453125" style="2"/>
    <col min="3" max="3" width="22.1796875" bestFit="1" customWidth="1"/>
    <col min="4" max="4" width="22.1796875" customWidth="1"/>
    <col min="5" max="5" width="52.1796875" style="4" bestFit="1" customWidth="1"/>
    <col min="6" max="6" width="15" bestFit="1" customWidth="1"/>
    <col min="7" max="7" width="21.26953125" bestFit="1" customWidth="1"/>
    <col min="8" max="8" width="26" style="2" bestFit="1" customWidth="1"/>
    <col min="9" max="10" width="24" style="2" customWidth="1"/>
    <col min="11" max="11" width="11.453125" style="2"/>
    <col min="12" max="15" width="11.453125" style="2" customWidth="1"/>
    <col min="16" max="16" width="10.7265625" style="2" bestFit="1" customWidth="1"/>
    <col min="17" max="17" width="12" style="2" bestFit="1" customWidth="1"/>
    <col min="18" max="18" width="17.1796875" style="2" bestFit="1" customWidth="1"/>
    <col min="19" max="19" width="25.26953125" style="2" bestFit="1" customWidth="1"/>
    <col min="20" max="20" width="11.453125" style="2"/>
  </cols>
  <sheetData>
    <row r="2" spans="2:19" x14ac:dyDescent="0.35">
      <c r="B2" s="15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2:19" x14ac:dyDescent="0.35">
      <c r="B3" s="2" t="s">
        <v>2</v>
      </c>
      <c r="C3" t="s">
        <v>75</v>
      </c>
      <c r="D3" t="s">
        <v>74</v>
      </c>
      <c r="E3" s="4" t="s">
        <v>9</v>
      </c>
      <c r="F3" t="s">
        <v>3</v>
      </c>
      <c r="G3" t="s">
        <v>4</v>
      </c>
      <c r="H3" s="2" t="s">
        <v>48</v>
      </c>
      <c r="I3" s="2" t="s">
        <v>7</v>
      </c>
      <c r="J3" s="2" t="s">
        <v>8</v>
      </c>
      <c r="K3" s="2" t="s">
        <v>23</v>
      </c>
      <c r="L3" s="2" t="s">
        <v>17</v>
      </c>
      <c r="M3" s="2" t="s">
        <v>18</v>
      </c>
      <c r="N3" s="2" t="s">
        <v>20</v>
      </c>
      <c r="O3" s="2" t="s">
        <v>19</v>
      </c>
      <c r="P3" s="2" t="s">
        <v>24</v>
      </c>
      <c r="Q3" s="2" t="s">
        <v>24</v>
      </c>
      <c r="R3" s="2" t="s">
        <v>27</v>
      </c>
      <c r="S3" s="2" t="s">
        <v>27</v>
      </c>
    </row>
    <row r="4" spans="2:19" x14ac:dyDescent="0.35">
      <c r="G4" t="s">
        <v>6</v>
      </c>
      <c r="H4" s="2" t="s">
        <v>6</v>
      </c>
      <c r="I4" s="2" t="s">
        <v>5</v>
      </c>
      <c r="J4" s="2" t="s">
        <v>5</v>
      </c>
      <c r="L4" s="2" t="s">
        <v>21</v>
      </c>
      <c r="M4" s="2" t="s">
        <v>21</v>
      </c>
      <c r="N4" s="2" t="s">
        <v>22</v>
      </c>
      <c r="O4" s="2" t="s">
        <v>22</v>
      </c>
      <c r="P4" s="2" t="s">
        <v>0</v>
      </c>
      <c r="Q4" s="2" t="s">
        <v>25</v>
      </c>
      <c r="R4" s="2" t="s">
        <v>26</v>
      </c>
      <c r="S4" s="2" t="s">
        <v>29</v>
      </c>
    </row>
    <row r="5" spans="2:19" x14ac:dyDescent="0.35">
      <c r="B5" s="2">
        <v>0</v>
      </c>
      <c r="C5" t="s">
        <v>14</v>
      </c>
      <c r="D5" t="s">
        <v>10</v>
      </c>
      <c r="E5" s="4" t="s">
        <v>13</v>
      </c>
      <c r="F5" s="9">
        <v>46153</v>
      </c>
      <c r="G5" s="10">
        <v>0.75</v>
      </c>
      <c r="H5" s="11">
        <v>0</v>
      </c>
      <c r="I5" s="3">
        <v>19450</v>
      </c>
      <c r="J5" s="3">
        <v>0</v>
      </c>
      <c r="K5" s="6" t="s">
        <v>30</v>
      </c>
      <c r="L5" s="6">
        <v>3.33</v>
      </c>
      <c r="M5" s="6">
        <v>0.105</v>
      </c>
      <c r="N5" s="6">
        <v>4.72</v>
      </c>
      <c r="O5" s="6">
        <v>0.377</v>
      </c>
      <c r="P5" s="2" t="str">
        <f>"1:2"</f>
        <v>1:2</v>
      </c>
      <c r="Q5" s="2">
        <v>3.77</v>
      </c>
      <c r="R5" s="12">
        <v>9930000</v>
      </c>
      <c r="S5" s="6">
        <f>LOG(R5,10)</f>
        <v>6.9969492484953797</v>
      </c>
    </row>
    <row r="6" spans="2:19" x14ac:dyDescent="0.35">
      <c r="B6" s="2">
        <v>1</v>
      </c>
      <c r="C6" t="s">
        <v>14</v>
      </c>
      <c r="D6" t="s">
        <v>10</v>
      </c>
      <c r="E6" s="4" t="s">
        <v>32</v>
      </c>
      <c r="F6" s="9">
        <v>46154</v>
      </c>
      <c r="G6" s="10">
        <v>0.40277777777777779</v>
      </c>
      <c r="H6" s="11">
        <v>15.666666666666664</v>
      </c>
      <c r="I6" s="3">
        <v>18600</v>
      </c>
      <c r="J6" s="3">
        <v>0</v>
      </c>
      <c r="K6" s="6" t="s">
        <v>30</v>
      </c>
      <c r="L6" s="6">
        <v>3.31</v>
      </c>
      <c r="M6" s="6">
        <v>0.10100000000000001</v>
      </c>
      <c r="N6" s="6">
        <v>4.59</v>
      </c>
      <c r="O6" s="6">
        <v>0.49099999999999999</v>
      </c>
      <c r="P6" s="2" t="str">
        <f>"1:2"</f>
        <v>1:2</v>
      </c>
      <c r="Q6" s="5">
        <v>4.3</v>
      </c>
      <c r="R6" s="12">
        <v>8450000</v>
      </c>
      <c r="S6" s="6">
        <f t="shared" ref="S6:S13" si="0">LOG(R6,10)</f>
        <v>6.9268567089496917</v>
      </c>
    </row>
    <row r="7" spans="2:19" x14ac:dyDescent="0.35">
      <c r="B7" s="2">
        <v>2</v>
      </c>
      <c r="C7" t="s">
        <v>14</v>
      </c>
      <c r="D7" t="s">
        <v>10</v>
      </c>
      <c r="E7" s="4" t="s">
        <v>33</v>
      </c>
      <c r="F7" s="9">
        <v>46155</v>
      </c>
      <c r="G7" s="10">
        <v>0.39583333333333331</v>
      </c>
      <c r="H7" s="11">
        <v>39.499999999999993</v>
      </c>
      <c r="I7" s="3">
        <v>18730</v>
      </c>
      <c r="J7" s="3">
        <v>0</v>
      </c>
      <c r="K7" s="6" t="s">
        <v>30</v>
      </c>
      <c r="L7" s="6">
        <v>2.95</v>
      </c>
      <c r="M7" s="6">
        <v>0.42399999999999999</v>
      </c>
      <c r="N7" s="6">
        <v>3.94</v>
      </c>
      <c r="O7" s="6">
        <v>0.46200000000000002</v>
      </c>
      <c r="P7" s="2" t="str">
        <f>"1:8"</f>
        <v>1:8</v>
      </c>
      <c r="Q7" s="2">
        <v>7.58</v>
      </c>
      <c r="R7" s="12">
        <v>1630000000</v>
      </c>
      <c r="S7" s="6">
        <f t="shared" si="0"/>
        <v>9.2121876044039581</v>
      </c>
    </row>
    <row r="8" spans="2:19" x14ac:dyDescent="0.35">
      <c r="B8" s="2">
        <v>3</v>
      </c>
      <c r="C8" t="s">
        <v>14</v>
      </c>
      <c r="D8" t="s">
        <v>10</v>
      </c>
      <c r="E8" s="4" t="s">
        <v>34</v>
      </c>
      <c r="F8" s="9">
        <v>46156</v>
      </c>
      <c r="G8" s="10">
        <v>0.40277777777777779</v>
      </c>
      <c r="H8" s="11">
        <v>63.666666666666664</v>
      </c>
      <c r="I8" s="3">
        <v>18490</v>
      </c>
      <c r="J8" s="3">
        <v>0</v>
      </c>
      <c r="K8" s="6" t="s">
        <v>30</v>
      </c>
      <c r="L8" s="6">
        <v>2.71</v>
      </c>
      <c r="M8" s="6">
        <v>0.69</v>
      </c>
      <c r="N8" s="6">
        <v>3.38</v>
      </c>
      <c r="O8" s="6">
        <v>0.53200000000000003</v>
      </c>
      <c r="P8" s="2" t="str">
        <f>"1:32"</f>
        <v>1:32</v>
      </c>
      <c r="Q8" s="2">
        <v>7.61</v>
      </c>
      <c r="R8" s="12">
        <v>3670000000</v>
      </c>
      <c r="S8" s="6">
        <f t="shared" si="0"/>
        <v>9.5646660642520871</v>
      </c>
    </row>
    <row r="9" spans="2:19" x14ac:dyDescent="0.35">
      <c r="B9" s="2">
        <v>4</v>
      </c>
      <c r="C9" t="s">
        <v>14</v>
      </c>
      <c r="D9" t="s">
        <v>10</v>
      </c>
      <c r="E9" s="4" t="s">
        <v>35</v>
      </c>
      <c r="F9" s="9">
        <v>46157</v>
      </c>
      <c r="G9" s="10">
        <v>0.40277777777777779</v>
      </c>
      <c r="H9" s="11">
        <v>87.666666666666671</v>
      </c>
      <c r="I9" s="3">
        <v>19350</v>
      </c>
      <c r="J9" s="3">
        <v>0</v>
      </c>
      <c r="K9" s="6" t="s">
        <v>30</v>
      </c>
      <c r="L9" s="6">
        <v>2.39</v>
      </c>
      <c r="M9" s="6">
        <v>0.88300000000000001</v>
      </c>
      <c r="N9" s="6">
        <v>2.8</v>
      </c>
      <c r="O9" s="6">
        <v>0.66600000000000004</v>
      </c>
      <c r="P9" s="2" t="str">
        <f>"1:64"</f>
        <v>1:64</v>
      </c>
      <c r="Q9" s="2">
        <v>7.84</v>
      </c>
      <c r="R9" s="12">
        <v>4640000000</v>
      </c>
      <c r="S9" s="6">
        <f t="shared" si="0"/>
        <v>9.6665179805548807</v>
      </c>
    </row>
    <row r="10" spans="2:19" x14ac:dyDescent="0.35">
      <c r="B10" s="2">
        <v>5</v>
      </c>
      <c r="C10" t="s">
        <v>14</v>
      </c>
      <c r="D10" t="s">
        <v>10</v>
      </c>
      <c r="E10" s="4" t="s">
        <v>36</v>
      </c>
      <c r="F10" s="9">
        <v>46158</v>
      </c>
      <c r="G10" s="10">
        <v>0.375</v>
      </c>
      <c r="H10" s="11">
        <v>111</v>
      </c>
      <c r="I10" s="3">
        <v>18700</v>
      </c>
      <c r="J10" s="3">
        <v>0</v>
      </c>
      <c r="K10" s="6" t="s">
        <v>30</v>
      </c>
      <c r="L10" s="6">
        <v>2.06</v>
      </c>
      <c r="M10" s="6">
        <v>1.1499999999999999</v>
      </c>
      <c r="N10" s="6">
        <v>2.39</v>
      </c>
      <c r="O10" s="6">
        <v>0.65200000000000002</v>
      </c>
      <c r="P10" s="2" t="str">
        <f>"1:64"</f>
        <v>1:64</v>
      </c>
      <c r="Q10" s="2">
        <v>7.75</v>
      </c>
      <c r="R10" s="12">
        <v>4660000000</v>
      </c>
      <c r="S10" s="6">
        <f t="shared" si="0"/>
        <v>9.6683859166899992</v>
      </c>
    </row>
    <row r="11" spans="2:19" x14ac:dyDescent="0.35">
      <c r="B11" s="2">
        <v>6</v>
      </c>
      <c r="C11" t="s">
        <v>14</v>
      </c>
      <c r="D11" t="s">
        <v>10</v>
      </c>
      <c r="E11" s="4" t="s">
        <v>61</v>
      </c>
      <c r="F11" s="9">
        <v>46160</v>
      </c>
      <c r="G11" s="10">
        <v>0.3611111111111111</v>
      </c>
      <c r="H11" s="11">
        <v>158.66666666666666</v>
      </c>
      <c r="I11" s="3">
        <v>18300</v>
      </c>
      <c r="J11" s="3">
        <v>0</v>
      </c>
      <c r="K11" s="6" t="s">
        <v>30</v>
      </c>
      <c r="L11" s="2" t="s">
        <v>28</v>
      </c>
      <c r="M11" s="2" t="s">
        <v>28</v>
      </c>
      <c r="N11" s="2" t="s">
        <v>28</v>
      </c>
      <c r="O11" s="2" t="s">
        <v>28</v>
      </c>
      <c r="P11" s="2" t="s">
        <v>28</v>
      </c>
      <c r="Q11" s="2" t="s">
        <v>28</v>
      </c>
      <c r="R11" s="2" t="s">
        <v>28</v>
      </c>
      <c r="S11" s="2" t="s">
        <v>28</v>
      </c>
    </row>
    <row r="12" spans="2:19" x14ac:dyDescent="0.35">
      <c r="B12" s="2">
        <v>7</v>
      </c>
      <c r="C12" t="s">
        <v>15</v>
      </c>
      <c r="D12" t="s">
        <v>49</v>
      </c>
      <c r="E12" s="4" t="s">
        <v>11</v>
      </c>
      <c r="F12" s="9">
        <v>46160</v>
      </c>
      <c r="G12" s="10">
        <v>0.3611111111111111</v>
      </c>
      <c r="H12" s="11">
        <v>158.66666666666666</v>
      </c>
      <c r="I12" s="3">
        <v>18300</v>
      </c>
      <c r="J12" s="3">
        <v>0</v>
      </c>
      <c r="K12" s="6" t="s">
        <v>30</v>
      </c>
      <c r="L12" s="6">
        <v>1.07</v>
      </c>
      <c r="M12" s="6">
        <v>1.57</v>
      </c>
      <c r="N12" s="6">
        <v>1.43</v>
      </c>
      <c r="O12" s="6">
        <v>0.50800000000000001</v>
      </c>
      <c r="P12" s="2" t="str">
        <f>"1:64"</f>
        <v>1:64</v>
      </c>
      <c r="Q12" s="2">
        <v>7.19</v>
      </c>
      <c r="R12" s="12">
        <v>5580000000</v>
      </c>
      <c r="S12" s="6">
        <f t="shared" si="0"/>
        <v>9.7466341989375778</v>
      </c>
    </row>
    <row r="13" spans="2:19" x14ac:dyDescent="0.35">
      <c r="B13" s="2">
        <v>8</v>
      </c>
      <c r="C13" t="s">
        <v>15</v>
      </c>
      <c r="D13" t="s">
        <v>49</v>
      </c>
      <c r="E13" s="4" t="s">
        <v>31</v>
      </c>
      <c r="F13" s="9">
        <v>46161</v>
      </c>
      <c r="G13" s="10">
        <v>0.48958333333333331</v>
      </c>
      <c r="H13" s="11">
        <v>185.75</v>
      </c>
      <c r="I13" s="3">
        <v>18020</v>
      </c>
      <c r="J13" s="3">
        <v>0</v>
      </c>
      <c r="K13" s="6" t="s">
        <v>30</v>
      </c>
      <c r="L13" s="6">
        <v>1.3</v>
      </c>
      <c r="M13" s="6">
        <v>1.44</v>
      </c>
      <c r="N13" s="6">
        <v>3.03</v>
      </c>
      <c r="O13" s="6">
        <v>0.39500000000000002</v>
      </c>
      <c r="P13" s="2" t="str">
        <f>"1:64"</f>
        <v>1:64</v>
      </c>
      <c r="Q13" s="2">
        <v>6.91</v>
      </c>
      <c r="R13" s="12">
        <v>4860000000</v>
      </c>
      <c r="S13" s="6">
        <f t="shared" si="0"/>
        <v>9.6866362692622925</v>
      </c>
    </row>
    <row r="14" spans="2:19" x14ac:dyDescent="0.35">
      <c r="B14" s="2">
        <v>9</v>
      </c>
      <c r="C14" t="s">
        <v>15</v>
      </c>
      <c r="D14" t="s">
        <v>49</v>
      </c>
      <c r="E14" s="4" t="s">
        <v>72</v>
      </c>
      <c r="F14" s="9">
        <v>46161</v>
      </c>
      <c r="G14" s="10">
        <v>0.73611111111111116</v>
      </c>
      <c r="H14" s="11">
        <v>191.66666666666666</v>
      </c>
      <c r="I14" s="3">
        <v>18010</v>
      </c>
      <c r="J14" s="3">
        <v>0</v>
      </c>
      <c r="K14" s="6" t="s">
        <v>30</v>
      </c>
      <c r="L14" s="6">
        <v>1.42</v>
      </c>
      <c r="M14" s="6">
        <v>1.42</v>
      </c>
      <c r="N14" s="6">
        <v>3.26</v>
      </c>
      <c r="O14" s="6">
        <v>0.45500000000000002</v>
      </c>
      <c r="P14" s="2" t="s">
        <v>28</v>
      </c>
      <c r="Q14" s="2" t="s">
        <v>28</v>
      </c>
      <c r="R14" s="2" t="s">
        <v>28</v>
      </c>
      <c r="S14" s="2" t="s">
        <v>28</v>
      </c>
    </row>
    <row r="15" spans="2:19" x14ac:dyDescent="0.35">
      <c r="B15" s="2">
        <v>10</v>
      </c>
      <c r="C15" t="s">
        <v>15</v>
      </c>
      <c r="D15" t="s">
        <v>49</v>
      </c>
      <c r="E15" s="4" t="s">
        <v>54</v>
      </c>
      <c r="F15" s="9">
        <v>46162</v>
      </c>
      <c r="G15" s="10">
        <v>0.4513888888888889</v>
      </c>
      <c r="H15" s="11">
        <v>208.83333333333334</v>
      </c>
      <c r="I15" s="3">
        <v>18010</v>
      </c>
      <c r="J15" s="3">
        <v>14700</v>
      </c>
      <c r="K15" s="6">
        <f>J15/I15</f>
        <v>0.81621321488062193</v>
      </c>
      <c r="L15" s="6">
        <v>1.18</v>
      </c>
      <c r="M15" s="6">
        <v>1.59</v>
      </c>
      <c r="N15" s="6">
        <v>3.55</v>
      </c>
      <c r="O15" s="6">
        <v>0.38900000000000001</v>
      </c>
      <c r="P15" s="2" t="str">
        <f>"1:32"</f>
        <v>1:32</v>
      </c>
      <c r="Q15" s="13">
        <v>7.11</v>
      </c>
      <c r="R15" s="12">
        <v>81400000000</v>
      </c>
      <c r="S15" s="6">
        <f>LOG(R15,10)</f>
        <v>10.9106244048892</v>
      </c>
    </row>
    <row r="16" spans="2:19" x14ac:dyDescent="0.35">
      <c r="B16" s="2">
        <v>11</v>
      </c>
      <c r="C16" t="s">
        <v>47</v>
      </c>
      <c r="D16" t="s">
        <v>51</v>
      </c>
      <c r="E16" s="4" t="s">
        <v>16</v>
      </c>
      <c r="F16" s="9">
        <v>46162</v>
      </c>
      <c r="G16" s="10">
        <v>0.45833333333333331</v>
      </c>
      <c r="H16" s="11">
        <v>209</v>
      </c>
      <c r="I16" s="3">
        <v>18750</v>
      </c>
      <c r="J16" s="3">
        <v>0</v>
      </c>
      <c r="K16" s="6" t="s">
        <v>30</v>
      </c>
      <c r="L16" s="6">
        <v>1.27</v>
      </c>
      <c r="M16" s="6">
        <v>1.54</v>
      </c>
      <c r="N16" s="6">
        <v>3.71</v>
      </c>
      <c r="O16" s="6">
        <v>0.47199999999999998</v>
      </c>
      <c r="P16" s="2" t="str">
        <f>"1:32"</f>
        <v>1:32</v>
      </c>
      <c r="Q16" s="2" t="s">
        <v>28</v>
      </c>
      <c r="R16" s="2" t="s">
        <v>28</v>
      </c>
      <c r="S16" s="2" t="s">
        <v>28</v>
      </c>
    </row>
    <row r="17" spans="2:19" x14ac:dyDescent="0.35">
      <c r="B17" s="2">
        <v>12</v>
      </c>
      <c r="C17" t="s">
        <v>14</v>
      </c>
      <c r="D17" t="s">
        <v>51</v>
      </c>
      <c r="E17" s="4" t="s">
        <v>56</v>
      </c>
      <c r="F17" s="9">
        <v>46162</v>
      </c>
      <c r="G17" s="10">
        <v>0.45833333333333331</v>
      </c>
      <c r="H17" s="11">
        <v>209</v>
      </c>
      <c r="I17" s="3">
        <v>18750</v>
      </c>
      <c r="J17" s="3">
        <v>0</v>
      </c>
      <c r="K17" s="6" t="s">
        <v>30</v>
      </c>
      <c r="L17" s="6">
        <v>1.27</v>
      </c>
      <c r="M17" s="6">
        <v>1.54</v>
      </c>
      <c r="N17" s="6">
        <v>3.71</v>
      </c>
      <c r="O17" s="6">
        <v>0.47199999999999998</v>
      </c>
      <c r="P17" s="2" t="str">
        <f>"1:32"</f>
        <v>1:32</v>
      </c>
      <c r="Q17" s="2" t="s">
        <v>28</v>
      </c>
      <c r="R17" s="2" t="s">
        <v>28</v>
      </c>
      <c r="S17" s="2" t="s">
        <v>28</v>
      </c>
    </row>
    <row r="18" spans="2:19" x14ac:dyDescent="0.35">
      <c r="B18" s="2">
        <v>13</v>
      </c>
      <c r="C18" t="s">
        <v>14</v>
      </c>
      <c r="D18" t="s">
        <v>51</v>
      </c>
      <c r="E18" s="4" t="s">
        <v>53</v>
      </c>
      <c r="F18" s="9">
        <v>46163</v>
      </c>
      <c r="G18" s="10">
        <v>0.3888888888888889</v>
      </c>
      <c r="H18" s="11">
        <v>231.33333333333334</v>
      </c>
      <c r="I18" s="3">
        <v>18660</v>
      </c>
      <c r="J18" s="3">
        <v>0</v>
      </c>
      <c r="K18" s="6" t="s">
        <v>30</v>
      </c>
      <c r="L18" s="6">
        <v>0.69799999999999995</v>
      </c>
      <c r="M18" s="6">
        <v>1.77</v>
      </c>
      <c r="N18" s="6">
        <v>3.38</v>
      </c>
      <c r="O18" s="6">
        <v>0.38800000000000001</v>
      </c>
      <c r="P18" s="2" t="str">
        <f>"1:64"</f>
        <v>1:64</v>
      </c>
      <c r="Q18" s="5">
        <v>7.2</v>
      </c>
      <c r="R18" s="12">
        <v>161000000000</v>
      </c>
      <c r="S18" s="6">
        <f>LOG(R18,10)</f>
        <v>11.20682587603185</v>
      </c>
    </row>
    <row r="19" spans="2:19" x14ac:dyDescent="0.35">
      <c r="B19" s="2">
        <v>14</v>
      </c>
      <c r="C19" t="s">
        <v>14</v>
      </c>
      <c r="D19" t="s">
        <v>51</v>
      </c>
      <c r="E19" s="4" t="s">
        <v>61</v>
      </c>
      <c r="F19" s="9">
        <v>46163</v>
      </c>
      <c r="G19" s="10">
        <v>0.5625</v>
      </c>
      <c r="H19" s="11">
        <v>236</v>
      </c>
      <c r="I19" s="3">
        <v>18660</v>
      </c>
      <c r="J19" s="3">
        <v>0</v>
      </c>
      <c r="K19" s="6" t="s">
        <v>30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Q19" s="2" t="s">
        <v>28</v>
      </c>
      <c r="R19" s="2" t="s">
        <v>28</v>
      </c>
      <c r="S19" s="2" t="s">
        <v>28</v>
      </c>
    </row>
    <row r="20" spans="2:19" x14ac:dyDescent="0.35">
      <c r="B20" s="2">
        <v>15</v>
      </c>
      <c r="C20" t="s">
        <v>15</v>
      </c>
      <c r="D20" t="s">
        <v>50</v>
      </c>
      <c r="E20" s="4" t="s">
        <v>12</v>
      </c>
      <c r="F20" s="9">
        <v>46163</v>
      </c>
      <c r="G20" s="10">
        <v>0.5625</v>
      </c>
      <c r="H20" s="11">
        <v>236</v>
      </c>
      <c r="I20" s="3">
        <v>18660</v>
      </c>
      <c r="J20" s="3">
        <v>0</v>
      </c>
      <c r="K20" s="6" t="s">
        <v>30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28</v>
      </c>
      <c r="Q20" s="2" t="s">
        <v>28</v>
      </c>
      <c r="R20" s="2" t="s">
        <v>28</v>
      </c>
      <c r="S20" s="2" t="s">
        <v>28</v>
      </c>
    </row>
    <row r="21" spans="2:19" x14ac:dyDescent="0.35">
      <c r="B21" s="2">
        <v>16</v>
      </c>
      <c r="C21" t="s">
        <v>15</v>
      </c>
      <c r="D21" t="s">
        <v>50</v>
      </c>
      <c r="E21" s="4" t="s">
        <v>55</v>
      </c>
      <c r="F21" s="9">
        <v>46164</v>
      </c>
      <c r="G21" s="10">
        <v>0.3611111111111111</v>
      </c>
      <c r="H21" s="11">
        <v>254.66666666666666</v>
      </c>
      <c r="I21" s="3">
        <v>18000</v>
      </c>
      <c r="J21" s="3">
        <v>15300</v>
      </c>
      <c r="K21" s="6">
        <f>J21/I21</f>
        <v>0.85</v>
      </c>
      <c r="L21" s="6">
        <v>1.57</v>
      </c>
      <c r="M21" s="6">
        <v>1.33</v>
      </c>
      <c r="N21" s="6">
        <v>4.3</v>
      </c>
      <c r="O21" s="6">
        <v>0.40400000000000003</v>
      </c>
      <c r="P21" s="2" t="str">
        <f>"1:32"</f>
        <v>1:32</v>
      </c>
      <c r="Q21" s="14">
        <v>6.41</v>
      </c>
      <c r="R21" s="12">
        <v>83400000000</v>
      </c>
      <c r="S21" s="6">
        <f>LOG(R21,10)</f>
        <v>10.921166050637737</v>
      </c>
    </row>
    <row r="22" spans="2:19" x14ac:dyDescent="0.35">
      <c r="B22" s="2">
        <v>17</v>
      </c>
      <c r="C22" t="s">
        <v>47</v>
      </c>
      <c r="D22" t="s">
        <v>51</v>
      </c>
      <c r="E22" s="4" t="s">
        <v>16</v>
      </c>
      <c r="F22" s="9">
        <v>46164</v>
      </c>
      <c r="G22" s="10">
        <v>0.60416666666666663</v>
      </c>
      <c r="H22" s="11">
        <v>260.5</v>
      </c>
      <c r="I22" s="3">
        <v>18000</v>
      </c>
      <c r="J22" s="3">
        <v>0</v>
      </c>
      <c r="K22" s="6" t="s">
        <v>30</v>
      </c>
      <c r="L22" s="6">
        <v>1.6</v>
      </c>
      <c r="M22" s="6">
        <v>1.38</v>
      </c>
      <c r="N22" s="6">
        <v>4.3099999999999996</v>
      </c>
      <c r="O22" s="6">
        <v>0.40300000000000002</v>
      </c>
      <c r="P22" s="2" t="str">
        <f>"1:16"</f>
        <v>1:16</v>
      </c>
      <c r="Q22" s="2" t="s">
        <v>28</v>
      </c>
      <c r="R22" s="2" t="s">
        <v>28</v>
      </c>
      <c r="S22" s="2" t="s">
        <v>28</v>
      </c>
    </row>
    <row r="23" spans="2:19" x14ac:dyDescent="0.35">
      <c r="B23" s="2">
        <v>18</v>
      </c>
      <c r="C23" t="s">
        <v>14</v>
      </c>
      <c r="D23" t="s">
        <v>51</v>
      </c>
      <c r="E23" s="4" t="s">
        <v>56</v>
      </c>
      <c r="F23" s="9">
        <v>46164</v>
      </c>
      <c r="G23" s="10">
        <v>0.60416666666666663</v>
      </c>
      <c r="H23" s="11">
        <v>260.5</v>
      </c>
      <c r="I23" s="3">
        <v>18000</v>
      </c>
      <c r="J23" s="3">
        <v>0</v>
      </c>
      <c r="K23" s="6" t="s">
        <v>30</v>
      </c>
      <c r="L23" s="6">
        <v>1.6</v>
      </c>
      <c r="M23" s="6">
        <v>1.38</v>
      </c>
      <c r="N23" s="6">
        <v>4.3099999999999996</v>
      </c>
      <c r="O23" s="6">
        <v>0.40300000000000002</v>
      </c>
      <c r="P23" s="2" t="str">
        <f>"1:16"</f>
        <v>1:16</v>
      </c>
      <c r="Q23" s="2" t="s">
        <v>28</v>
      </c>
      <c r="R23" s="2" t="s">
        <v>28</v>
      </c>
      <c r="S23" s="2" t="s">
        <v>28</v>
      </c>
    </row>
    <row r="24" spans="2:19" x14ac:dyDescent="0.35">
      <c r="B24" s="2">
        <v>19</v>
      </c>
      <c r="C24" t="s">
        <v>14</v>
      </c>
      <c r="D24" t="s">
        <v>71</v>
      </c>
      <c r="E24" s="4" t="s">
        <v>61</v>
      </c>
      <c r="F24" s="9">
        <v>46165</v>
      </c>
      <c r="G24" s="10">
        <v>0.35416666666666669</v>
      </c>
      <c r="H24" s="11">
        <v>278.5</v>
      </c>
      <c r="I24" s="3">
        <v>18400</v>
      </c>
      <c r="J24" s="3">
        <v>0</v>
      </c>
      <c r="K24" s="6" t="s">
        <v>30</v>
      </c>
      <c r="L24" s="6">
        <v>0.98599999999999999</v>
      </c>
      <c r="M24" s="6">
        <v>1.71</v>
      </c>
      <c r="N24" s="6">
        <v>3.84</v>
      </c>
      <c r="O24" s="6">
        <v>0.47699999999999998</v>
      </c>
      <c r="P24" s="2" t="str">
        <f>"1:16"</f>
        <v>1:16</v>
      </c>
      <c r="Q24" s="2" t="s">
        <v>28</v>
      </c>
      <c r="R24" s="12">
        <v>53800000000</v>
      </c>
      <c r="S24" s="6">
        <f>LOG(R24,10)</f>
        <v>10.730782275666389</v>
      </c>
    </row>
    <row r="25" spans="2:19" x14ac:dyDescent="0.35">
      <c r="B25" s="2">
        <v>20</v>
      </c>
      <c r="C25" t="s">
        <v>15</v>
      </c>
      <c r="D25" t="s">
        <v>52</v>
      </c>
      <c r="E25" s="4" t="s">
        <v>76</v>
      </c>
      <c r="F25" s="9">
        <v>46165</v>
      </c>
      <c r="G25" s="10">
        <v>0.35416666666666669</v>
      </c>
      <c r="H25" s="11">
        <v>278.5</v>
      </c>
      <c r="I25" s="3">
        <v>18400</v>
      </c>
      <c r="J25" s="3">
        <v>0</v>
      </c>
      <c r="K25" s="6" t="s">
        <v>30</v>
      </c>
      <c r="L25" s="6">
        <v>0.98599999999999999</v>
      </c>
      <c r="M25" s="6">
        <v>1.71</v>
      </c>
      <c r="N25" s="6">
        <v>3.84</v>
      </c>
      <c r="O25" s="6">
        <v>0.47699999999999998</v>
      </c>
      <c r="P25" s="2" t="str">
        <f>"1:16"</f>
        <v>1:16</v>
      </c>
      <c r="Q25" s="2">
        <v>6.24</v>
      </c>
      <c r="R25" s="12">
        <v>53800000000</v>
      </c>
      <c r="S25" s="6">
        <f>LOG(R25,10)</f>
        <v>10.730782275666389</v>
      </c>
    </row>
    <row r="26" spans="2:19" x14ac:dyDescent="0.35">
      <c r="B26" s="2">
        <v>21</v>
      </c>
      <c r="C26" t="s">
        <v>15</v>
      </c>
      <c r="D26" t="s">
        <v>52</v>
      </c>
      <c r="E26" s="4" t="s">
        <v>57</v>
      </c>
      <c r="F26" s="9">
        <v>46166</v>
      </c>
      <c r="G26" s="10">
        <v>0.375</v>
      </c>
      <c r="H26" s="11">
        <v>303</v>
      </c>
      <c r="I26" s="3">
        <v>17800</v>
      </c>
      <c r="J26" s="3">
        <v>15700</v>
      </c>
      <c r="K26" s="6">
        <f t="shared" ref="K26:K32" si="1">J26/I26</f>
        <v>0.8820224719101124</v>
      </c>
      <c r="L26" s="2" t="s">
        <v>28</v>
      </c>
      <c r="M26" s="2" t="s">
        <v>28</v>
      </c>
      <c r="N26" s="2" t="s">
        <v>28</v>
      </c>
      <c r="O26" s="2" t="s">
        <v>28</v>
      </c>
      <c r="P26" s="2" t="s">
        <v>28</v>
      </c>
      <c r="Q26" s="14">
        <v>6.73</v>
      </c>
      <c r="R26" s="2" t="s">
        <v>28</v>
      </c>
      <c r="S26" s="2" t="s">
        <v>28</v>
      </c>
    </row>
    <row r="27" spans="2:19" x14ac:dyDescent="0.35">
      <c r="B27" s="2">
        <v>22</v>
      </c>
      <c r="C27" t="s">
        <v>14</v>
      </c>
      <c r="D27" t="s">
        <v>51</v>
      </c>
      <c r="E27" s="4" t="s">
        <v>56</v>
      </c>
      <c r="F27" s="9">
        <v>46166</v>
      </c>
      <c r="G27" s="10">
        <v>0.375</v>
      </c>
      <c r="H27" s="11">
        <v>303</v>
      </c>
      <c r="I27" s="3">
        <v>17800</v>
      </c>
      <c r="J27" s="3">
        <v>0</v>
      </c>
      <c r="K27" s="6" t="s">
        <v>30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28</v>
      </c>
      <c r="R27" s="2" t="s">
        <v>28</v>
      </c>
      <c r="S27" s="2" t="s">
        <v>28</v>
      </c>
    </row>
    <row r="28" spans="2:19" x14ac:dyDescent="0.35">
      <c r="B28" s="2">
        <v>23</v>
      </c>
      <c r="C28" t="s">
        <v>14</v>
      </c>
      <c r="D28" t="s">
        <v>51</v>
      </c>
      <c r="E28" s="4" t="s">
        <v>53</v>
      </c>
      <c r="F28" s="9">
        <v>46167</v>
      </c>
      <c r="G28" s="10">
        <v>0.5</v>
      </c>
      <c r="H28" s="11">
        <v>330</v>
      </c>
      <c r="I28" s="3">
        <v>17800</v>
      </c>
      <c r="J28" s="3">
        <v>0</v>
      </c>
      <c r="K28" s="6" t="s">
        <v>30</v>
      </c>
      <c r="L28" s="6">
        <v>0.73899999999999999</v>
      </c>
      <c r="M28" s="6">
        <v>1.85</v>
      </c>
      <c r="N28" s="6">
        <v>3.49</v>
      </c>
      <c r="O28" s="6">
        <v>0.58299999999999996</v>
      </c>
      <c r="P28" s="2" t="str">
        <f>"1:32"</f>
        <v>1:32</v>
      </c>
      <c r="Q28" s="5">
        <v>6.8</v>
      </c>
      <c r="R28" s="12">
        <v>26800000000</v>
      </c>
      <c r="S28" s="6">
        <f>LOG(R28,10)</f>
        <v>10.428134794028788</v>
      </c>
    </row>
    <row r="29" spans="2:19" x14ac:dyDescent="0.35">
      <c r="B29" s="2">
        <v>24</v>
      </c>
      <c r="C29" t="s">
        <v>14</v>
      </c>
      <c r="D29" t="s">
        <v>71</v>
      </c>
      <c r="E29" s="4" t="s">
        <v>61</v>
      </c>
      <c r="F29" s="9">
        <v>46167</v>
      </c>
      <c r="G29" s="10">
        <v>0.6875</v>
      </c>
      <c r="H29" s="11">
        <v>334.5</v>
      </c>
      <c r="I29" s="3">
        <v>18500</v>
      </c>
      <c r="J29" s="3">
        <v>0</v>
      </c>
      <c r="K29" s="6" t="s">
        <v>30</v>
      </c>
      <c r="L29" s="6">
        <v>1</v>
      </c>
      <c r="M29" s="6">
        <v>1.76</v>
      </c>
      <c r="N29" s="6">
        <v>3.51</v>
      </c>
      <c r="O29" s="6">
        <v>0.60699999999999998</v>
      </c>
      <c r="P29" s="2" t="str">
        <f>"1:32"</f>
        <v>1:32</v>
      </c>
      <c r="Q29" s="2" t="s">
        <v>28</v>
      </c>
      <c r="R29" s="2" t="s">
        <v>28</v>
      </c>
      <c r="S29" s="2" t="s">
        <v>28</v>
      </c>
    </row>
    <row r="30" spans="2:19" x14ac:dyDescent="0.35">
      <c r="B30" s="2">
        <v>25</v>
      </c>
      <c r="C30" t="s">
        <v>15</v>
      </c>
      <c r="D30" t="s">
        <v>71</v>
      </c>
      <c r="E30" s="4" t="s">
        <v>16</v>
      </c>
      <c r="F30" s="9">
        <v>46167</v>
      </c>
      <c r="G30" s="10">
        <v>0.6875</v>
      </c>
      <c r="H30" s="11">
        <v>334.5</v>
      </c>
      <c r="I30" s="3">
        <v>18500</v>
      </c>
      <c r="J30" s="3">
        <v>0</v>
      </c>
      <c r="K30" s="6" t="s">
        <v>30</v>
      </c>
      <c r="L30" s="6">
        <v>1</v>
      </c>
      <c r="M30" s="6">
        <v>1.76</v>
      </c>
      <c r="N30" s="6">
        <v>3.51</v>
      </c>
      <c r="O30" s="6">
        <v>0.60699999999999998</v>
      </c>
      <c r="P30" s="2" t="str">
        <f>"1:32"</f>
        <v>1:32</v>
      </c>
      <c r="Q30" s="2" t="s">
        <v>28</v>
      </c>
      <c r="R30" s="2" t="s">
        <v>28</v>
      </c>
      <c r="S30" s="2" t="s">
        <v>28</v>
      </c>
    </row>
    <row r="31" spans="2:19" x14ac:dyDescent="0.35">
      <c r="B31" s="2">
        <v>26</v>
      </c>
      <c r="C31" t="s">
        <v>15</v>
      </c>
      <c r="D31" t="s">
        <v>58</v>
      </c>
      <c r="E31" s="4" t="s">
        <v>73</v>
      </c>
      <c r="F31" s="9">
        <v>46167</v>
      </c>
      <c r="G31" s="10">
        <v>0.6875</v>
      </c>
      <c r="H31" s="11">
        <v>334.5</v>
      </c>
      <c r="I31" s="3">
        <v>18500</v>
      </c>
      <c r="J31" s="3">
        <v>0</v>
      </c>
      <c r="K31" s="6" t="s">
        <v>30</v>
      </c>
      <c r="L31" s="6">
        <v>1</v>
      </c>
      <c r="M31" s="6">
        <v>1.76</v>
      </c>
      <c r="N31" s="6">
        <v>3.51</v>
      </c>
      <c r="O31" s="6">
        <v>0.60699999999999998</v>
      </c>
      <c r="P31" s="2" t="str">
        <f>"1:32"</f>
        <v>1:32</v>
      </c>
      <c r="Q31" s="2" t="s">
        <v>28</v>
      </c>
      <c r="R31" s="2" t="s">
        <v>28</v>
      </c>
      <c r="S31" s="2" t="s">
        <v>28</v>
      </c>
    </row>
    <row r="32" spans="2:19" x14ac:dyDescent="0.35">
      <c r="B32" s="2">
        <v>27</v>
      </c>
      <c r="C32" t="s">
        <v>15</v>
      </c>
      <c r="D32" t="s">
        <v>58</v>
      </c>
      <c r="E32" s="4" t="s">
        <v>59</v>
      </c>
      <c r="F32" s="9">
        <v>46168</v>
      </c>
      <c r="G32" s="10">
        <v>0.69444444444444442</v>
      </c>
      <c r="H32" s="11">
        <v>358.66666666666669</v>
      </c>
      <c r="I32" s="3">
        <v>18700</v>
      </c>
      <c r="J32" s="3">
        <v>15550</v>
      </c>
      <c r="K32" s="6">
        <f t="shared" si="1"/>
        <v>0.83155080213903743</v>
      </c>
      <c r="L32" s="6">
        <v>1.78</v>
      </c>
      <c r="M32" s="6">
        <v>1.35</v>
      </c>
      <c r="N32" s="6">
        <v>5.28</v>
      </c>
      <c r="O32" s="6">
        <v>0.50900000000000001</v>
      </c>
      <c r="P32" s="2" t="str">
        <f>"1:16"</f>
        <v>1:16</v>
      </c>
      <c r="Q32" s="13">
        <v>7</v>
      </c>
      <c r="R32" s="12">
        <v>23800000000</v>
      </c>
      <c r="S32" s="6">
        <f>LOG(R32,10)</f>
        <v>10.376576957056512</v>
      </c>
    </row>
    <row r="33" spans="2:19" x14ac:dyDescent="0.35">
      <c r="B33" s="2">
        <v>28</v>
      </c>
      <c r="C33" t="s">
        <v>14</v>
      </c>
      <c r="D33" t="s">
        <v>51</v>
      </c>
      <c r="E33" s="4" t="s">
        <v>60</v>
      </c>
      <c r="F33" s="9">
        <v>46168</v>
      </c>
      <c r="G33" s="10">
        <v>0.69444444444444442</v>
      </c>
      <c r="H33" s="11">
        <v>358.66666666666669</v>
      </c>
      <c r="I33" s="3">
        <v>18700</v>
      </c>
      <c r="J33" s="3">
        <v>0</v>
      </c>
      <c r="K33" s="6" t="s">
        <v>30</v>
      </c>
      <c r="L33" s="6">
        <v>1.78</v>
      </c>
      <c r="M33" s="6">
        <v>1.35</v>
      </c>
      <c r="N33" s="6">
        <v>5.28</v>
      </c>
      <c r="O33" s="6">
        <v>0.50900000000000001</v>
      </c>
      <c r="P33" s="2" t="str">
        <f>"1:16"</f>
        <v>1:16</v>
      </c>
      <c r="Q33" s="2" t="s">
        <v>28</v>
      </c>
      <c r="R33" s="2" t="s">
        <v>28</v>
      </c>
      <c r="S33" s="2" t="s">
        <v>28</v>
      </c>
    </row>
    <row r="34" spans="2:19" x14ac:dyDescent="0.35">
      <c r="B34" s="2">
        <v>29</v>
      </c>
      <c r="C34" t="s">
        <v>14</v>
      </c>
      <c r="D34" t="s">
        <v>51</v>
      </c>
      <c r="E34" s="4" t="s">
        <v>61</v>
      </c>
      <c r="F34" s="9">
        <v>46169</v>
      </c>
      <c r="G34" s="10">
        <v>0.67361111111111116</v>
      </c>
      <c r="H34" s="11">
        <v>382.16666666666669</v>
      </c>
      <c r="I34" s="3">
        <v>18870</v>
      </c>
      <c r="J34" s="3">
        <v>0</v>
      </c>
      <c r="K34" s="6" t="s">
        <v>30</v>
      </c>
      <c r="L34" s="6">
        <v>0.93300000000000005</v>
      </c>
      <c r="M34" s="6">
        <v>1.88</v>
      </c>
      <c r="N34" s="6">
        <v>4.38</v>
      </c>
      <c r="O34" s="6">
        <v>0.67600000000000005</v>
      </c>
      <c r="P34" s="2" t="str">
        <f>"1:32"</f>
        <v>1:32</v>
      </c>
      <c r="Q34" s="2" t="s">
        <v>28</v>
      </c>
      <c r="R34" s="2" t="s">
        <v>28</v>
      </c>
      <c r="S34" s="2" t="s">
        <v>28</v>
      </c>
    </row>
    <row r="35" spans="2:19" x14ac:dyDescent="0.35">
      <c r="B35" s="2">
        <v>30</v>
      </c>
      <c r="C35" t="s">
        <v>15</v>
      </c>
      <c r="D35" t="s">
        <v>63</v>
      </c>
      <c r="E35" s="4" t="s">
        <v>62</v>
      </c>
      <c r="F35" s="9">
        <v>46169</v>
      </c>
      <c r="G35" s="10">
        <v>0.67361111111111116</v>
      </c>
      <c r="H35" s="11">
        <v>382.16666666666669</v>
      </c>
      <c r="I35" s="3">
        <v>18870</v>
      </c>
      <c r="J35" s="3">
        <v>0</v>
      </c>
      <c r="K35" s="6" t="s">
        <v>30</v>
      </c>
      <c r="L35" s="6">
        <v>0.93300000000000005</v>
      </c>
      <c r="M35" s="6">
        <v>1.88</v>
      </c>
      <c r="N35" s="6">
        <v>4.38</v>
      </c>
      <c r="O35" s="6">
        <v>0.67600000000000005</v>
      </c>
      <c r="P35" s="2" t="str">
        <f>"1:32"</f>
        <v>1:32</v>
      </c>
      <c r="Q35" s="2">
        <v>6.46</v>
      </c>
      <c r="R35" s="12">
        <v>16600000000</v>
      </c>
      <c r="S35" s="6">
        <f>LOG(R35,10)</f>
        <v>10.220108088040053</v>
      </c>
    </row>
    <row r="36" spans="2:19" x14ac:dyDescent="0.35">
      <c r="B36" s="2">
        <v>31</v>
      </c>
      <c r="C36" t="s">
        <v>15</v>
      </c>
      <c r="D36" t="s">
        <v>63</v>
      </c>
      <c r="E36" s="4" t="s">
        <v>64</v>
      </c>
      <c r="F36" s="9">
        <v>46170</v>
      </c>
      <c r="G36" s="10">
        <v>0.70833333333333337</v>
      </c>
      <c r="H36" s="11">
        <v>407</v>
      </c>
      <c r="I36" s="3">
        <v>18700</v>
      </c>
      <c r="J36" s="3">
        <v>15340</v>
      </c>
      <c r="K36" s="6">
        <f t="shared" ref="K36" si="2">J36/I36</f>
        <v>0.82032085561497325</v>
      </c>
      <c r="L36" s="6">
        <v>1.79</v>
      </c>
      <c r="M36" s="6">
        <v>1.37</v>
      </c>
      <c r="N36" s="6">
        <v>4.8899999999999997</v>
      </c>
      <c r="O36" s="6">
        <v>0.55500000000000005</v>
      </c>
      <c r="P36" s="2" t="str">
        <f>"1:8"</f>
        <v>1:8</v>
      </c>
      <c r="Q36" s="14">
        <v>6.54</v>
      </c>
      <c r="R36" s="12">
        <v>15900000000</v>
      </c>
      <c r="S36" s="6">
        <f>LOG(R36,10)</f>
        <v>10.201397124320451</v>
      </c>
    </row>
    <row r="37" spans="2:19" x14ac:dyDescent="0.35">
      <c r="B37" s="2">
        <v>32</v>
      </c>
      <c r="C37" t="s">
        <v>14</v>
      </c>
      <c r="D37" t="s">
        <v>51</v>
      </c>
      <c r="E37" s="4" t="s">
        <v>60</v>
      </c>
      <c r="F37" s="9">
        <v>46170</v>
      </c>
      <c r="G37" s="10">
        <v>0.70833333333333337</v>
      </c>
      <c r="H37" s="11">
        <v>407</v>
      </c>
      <c r="I37" s="3">
        <v>18700</v>
      </c>
      <c r="J37" s="3">
        <v>0</v>
      </c>
      <c r="K37" s="6" t="s">
        <v>30</v>
      </c>
      <c r="L37" s="6">
        <v>1.79</v>
      </c>
      <c r="M37" s="6">
        <v>1.37</v>
      </c>
      <c r="N37" s="6">
        <v>4.8899999999999997</v>
      </c>
      <c r="O37" s="6">
        <v>0.55500000000000005</v>
      </c>
      <c r="P37" s="2" t="str">
        <f>"1:8"</f>
        <v>1:8</v>
      </c>
      <c r="Q37" s="2" t="s">
        <v>28</v>
      </c>
      <c r="R37" s="2" t="s">
        <v>28</v>
      </c>
      <c r="S37" s="2" t="s">
        <v>28</v>
      </c>
    </row>
    <row r="38" spans="2:19" x14ac:dyDescent="0.35">
      <c r="B38" s="2">
        <v>33</v>
      </c>
      <c r="C38" t="s">
        <v>14</v>
      </c>
      <c r="D38" t="s">
        <v>51</v>
      </c>
      <c r="E38" s="4" t="s">
        <v>53</v>
      </c>
      <c r="F38" s="9">
        <v>46171</v>
      </c>
      <c r="G38" s="10">
        <v>0.375</v>
      </c>
      <c r="H38" s="11">
        <v>423</v>
      </c>
      <c r="I38" s="3">
        <v>18700</v>
      </c>
      <c r="J38" s="3"/>
      <c r="K38" s="6" t="s">
        <v>30</v>
      </c>
      <c r="L38" s="6">
        <v>1.17</v>
      </c>
      <c r="M38" s="6">
        <v>1.76</v>
      </c>
      <c r="N38" s="6">
        <v>4.3099999999999996</v>
      </c>
      <c r="O38" s="6">
        <v>0.68200000000000005</v>
      </c>
      <c r="P38" s="2" t="str">
        <f t="shared" ref="P38:P44" si="3">"1:16"</f>
        <v>1:16</v>
      </c>
      <c r="Q38" s="2" t="s">
        <v>28</v>
      </c>
      <c r="R38" s="2" t="s">
        <v>28</v>
      </c>
      <c r="S38" s="2" t="s">
        <v>28</v>
      </c>
    </row>
    <row r="39" spans="2:19" x14ac:dyDescent="0.35">
      <c r="B39" s="2">
        <v>34</v>
      </c>
      <c r="C39" t="s">
        <v>14</v>
      </c>
      <c r="D39" t="s">
        <v>51</v>
      </c>
      <c r="E39" s="4" t="s">
        <v>61</v>
      </c>
      <c r="F39" s="9">
        <v>46171</v>
      </c>
      <c r="G39" s="10">
        <v>0.75</v>
      </c>
      <c r="H39" s="11">
        <v>432</v>
      </c>
      <c r="I39" s="3">
        <v>18500</v>
      </c>
      <c r="J39" s="3"/>
      <c r="K39" s="6" t="s">
        <v>30</v>
      </c>
      <c r="L39" s="6">
        <v>0.91</v>
      </c>
      <c r="M39" s="6">
        <v>1.82</v>
      </c>
      <c r="N39" s="6">
        <v>3.94</v>
      </c>
      <c r="O39" s="6">
        <v>0.71399999999999997</v>
      </c>
      <c r="P39" s="2" t="str">
        <f t="shared" si="3"/>
        <v>1:16</v>
      </c>
      <c r="Q39" s="2" t="s">
        <v>28</v>
      </c>
      <c r="R39" s="2" t="s">
        <v>28</v>
      </c>
      <c r="S39" s="2" t="s">
        <v>28</v>
      </c>
    </row>
    <row r="40" spans="2:19" x14ac:dyDescent="0.35">
      <c r="B40" s="2">
        <v>35</v>
      </c>
      <c r="C40" t="s">
        <v>15</v>
      </c>
      <c r="D40" t="s">
        <v>65</v>
      </c>
      <c r="E40" s="4" t="s">
        <v>66</v>
      </c>
      <c r="F40" s="9">
        <v>46171</v>
      </c>
      <c r="G40" s="10">
        <v>0.75</v>
      </c>
      <c r="H40" s="11">
        <v>432</v>
      </c>
      <c r="I40" s="3">
        <v>18500</v>
      </c>
      <c r="J40" s="3"/>
      <c r="K40" s="6" t="s">
        <v>30</v>
      </c>
      <c r="L40" s="6">
        <v>0.91</v>
      </c>
      <c r="M40" s="6">
        <v>1.82</v>
      </c>
      <c r="N40" s="6">
        <v>3.94</v>
      </c>
      <c r="O40" s="6">
        <v>0.71399999999999997</v>
      </c>
      <c r="P40" s="2" t="str">
        <f t="shared" si="3"/>
        <v>1:16</v>
      </c>
      <c r="Q40" s="2">
        <v>6.65</v>
      </c>
      <c r="R40" s="12">
        <v>34000000000</v>
      </c>
      <c r="S40" s="6">
        <f>LOG(R40,10)</f>
        <v>10.531478917042254</v>
      </c>
    </row>
    <row r="41" spans="2:19" x14ac:dyDescent="0.35">
      <c r="B41" s="2">
        <v>36</v>
      </c>
      <c r="C41" t="s">
        <v>15</v>
      </c>
      <c r="D41" t="s">
        <v>65</v>
      </c>
      <c r="E41" s="4" t="s">
        <v>67</v>
      </c>
      <c r="F41" s="9">
        <v>46172</v>
      </c>
      <c r="G41" s="10">
        <v>0.45833333333333331</v>
      </c>
      <c r="H41" s="11">
        <v>449</v>
      </c>
      <c r="I41" s="3">
        <v>18000</v>
      </c>
      <c r="J41" s="2" t="s">
        <v>28</v>
      </c>
      <c r="K41" s="6" t="s">
        <v>30</v>
      </c>
      <c r="L41" s="6">
        <v>1.71</v>
      </c>
      <c r="M41" s="6">
        <v>1.58</v>
      </c>
      <c r="N41" s="6">
        <v>4.8099999999999996</v>
      </c>
      <c r="O41" s="6">
        <v>0.71399999999999997</v>
      </c>
      <c r="P41" s="2" t="str">
        <f t="shared" si="3"/>
        <v>1:16</v>
      </c>
      <c r="Q41" s="2">
        <v>6.58</v>
      </c>
      <c r="R41" s="12">
        <v>104000000000</v>
      </c>
      <c r="S41" s="6">
        <f>LOG(R41,10)</f>
        <v>11.017033339298779</v>
      </c>
    </row>
    <row r="42" spans="2:19" x14ac:dyDescent="0.35">
      <c r="B42" s="2">
        <v>37</v>
      </c>
      <c r="C42" t="s">
        <v>15</v>
      </c>
      <c r="D42" t="s">
        <v>65</v>
      </c>
      <c r="E42" s="4" t="s">
        <v>68</v>
      </c>
      <c r="F42" s="9">
        <v>46172</v>
      </c>
      <c r="G42" s="10">
        <v>0.77083333333333337</v>
      </c>
      <c r="H42" s="11">
        <v>457</v>
      </c>
      <c r="I42" s="3">
        <v>18000</v>
      </c>
      <c r="J42" s="3">
        <v>15100</v>
      </c>
      <c r="K42" s="6">
        <f t="shared" ref="K42" si="4">J42/I42</f>
        <v>0.83888888888888891</v>
      </c>
      <c r="L42" s="2" t="s">
        <v>28</v>
      </c>
      <c r="M42" s="2" t="s">
        <v>28</v>
      </c>
      <c r="N42" s="2" t="s">
        <v>28</v>
      </c>
      <c r="O42" s="2" t="s">
        <v>28</v>
      </c>
      <c r="P42" s="2" t="str">
        <f t="shared" si="3"/>
        <v>1:16</v>
      </c>
      <c r="Q42" s="14">
        <v>7.75</v>
      </c>
      <c r="R42" s="2" t="s">
        <v>28</v>
      </c>
      <c r="S42" s="2" t="s">
        <v>28</v>
      </c>
    </row>
    <row r="43" spans="2:19" x14ac:dyDescent="0.35">
      <c r="B43" s="2">
        <v>38</v>
      </c>
      <c r="C43" t="s">
        <v>14</v>
      </c>
      <c r="D43" t="s">
        <v>51</v>
      </c>
      <c r="E43" s="4" t="s">
        <v>60</v>
      </c>
      <c r="F43" s="9">
        <v>46172</v>
      </c>
      <c r="G43" s="10">
        <v>0.77083333333333337</v>
      </c>
      <c r="H43" s="11">
        <v>457</v>
      </c>
      <c r="I43" s="3">
        <v>18000</v>
      </c>
      <c r="J43" s="3">
        <v>0</v>
      </c>
      <c r="K43" s="6" t="s">
        <v>30</v>
      </c>
      <c r="L43" s="2" t="s">
        <v>28</v>
      </c>
      <c r="M43" s="2" t="s">
        <v>28</v>
      </c>
      <c r="N43" s="2" t="s">
        <v>28</v>
      </c>
      <c r="O43" s="2" t="s">
        <v>28</v>
      </c>
      <c r="P43" s="2" t="str">
        <f t="shared" si="3"/>
        <v>1:16</v>
      </c>
      <c r="Q43" s="2" t="s">
        <v>28</v>
      </c>
      <c r="R43" s="2" t="s">
        <v>28</v>
      </c>
      <c r="S43" s="2" t="s">
        <v>28</v>
      </c>
    </row>
    <row r="44" spans="2:19" x14ac:dyDescent="0.35">
      <c r="B44" s="2">
        <v>39</v>
      </c>
      <c r="C44" t="s">
        <v>14</v>
      </c>
      <c r="D44" t="s">
        <v>69</v>
      </c>
      <c r="E44" s="4" t="s">
        <v>70</v>
      </c>
      <c r="F44" s="9">
        <v>46174</v>
      </c>
      <c r="G44" s="10">
        <v>0.3888888888888889</v>
      </c>
      <c r="H44" s="11">
        <v>495.33333333333331</v>
      </c>
      <c r="I44" s="3">
        <v>17760</v>
      </c>
      <c r="J44" s="3">
        <v>19000</v>
      </c>
      <c r="K44" s="6">
        <f t="shared" ref="K44" si="5">J44/I44</f>
        <v>1.0698198198198199</v>
      </c>
      <c r="L44" s="6">
        <v>0.67600000000000005</v>
      </c>
      <c r="M44" s="6">
        <v>1.97</v>
      </c>
      <c r="N44" s="6">
        <v>3.58</v>
      </c>
      <c r="O44" s="6">
        <v>0.85299999999999998</v>
      </c>
      <c r="P44" s="2" t="str">
        <f t="shared" si="3"/>
        <v>1:16</v>
      </c>
      <c r="Q44" s="13">
        <v>6.84</v>
      </c>
      <c r="R44" s="12">
        <v>29600000000</v>
      </c>
      <c r="S44" s="6">
        <f>LOG(R44,10)</f>
        <v>10.471291711058939</v>
      </c>
    </row>
    <row r="47" spans="2:19" x14ac:dyDescent="0.35">
      <c r="J47" s="3"/>
    </row>
    <row r="50" spans="2:8" x14ac:dyDescent="0.35">
      <c r="B50" s="3"/>
      <c r="F50" s="1"/>
      <c r="G50" s="1"/>
      <c r="H50" s="5"/>
    </row>
    <row r="51" spans="2:8" x14ac:dyDescent="0.35">
      <c r="B51" s="3"/>
      <c r="F51" s="1"/>
      <c r="G51" s="1"/>
      <c r="H51" s="5"/>
    </row>
    <row r="52" spans="2:8" x14ac:dyDescent="0.35">
      <c r="B52" s="3"/>
      <c r="F52" s="1"/>
      <c r="G52" s="1"/>
      <c r="H52" s="5"/>
    </row>
    <row r="53" spans="2:8" x14ac:dyDescent="0.35">
      <c r="B53" s="3"/>
      <c r="F53" s="1"/>
      <c r="G53" s="1"/>
      <c r="H53" s="5"/>
    </row>
    <row r="54" spans="2:8" x14ac:dyDescent="0.35">
      <c r="B54" s="3"/>
      <c r="F54" s="1"/>
      <c r="G54" s="1"/>
      <c r="H54" s="5"/>
    </row>
    <row r="55" spans="2:8" x14ac:dyDescent="0.35">
      <c r="B55" s="3"/>
      <c r="F55" s="1"/>
      <c r="G55" s="1"/>
      <c r="H55" s="5"/>
    </row>
    <row r="56" spans="2:8" x14ac:dyDescent="0.35">
      <c r="B56" s="3"/>
      <c r="F56" s="1"/>
      <c r="G56" s="1"/>
      <c r="H56" s="5"/>
    </row>
    <row r="57" spans="2:8" x14ac:dyDescent="0.35">
      <c r="F57" s="1"/>
    </row>
    <row r="58" spans="2:8" x14ac:dyDescent="0.35">
      <c r="B58" s="3"/>
      <c r="F58" s="1"/>
    </row>
    <row r="59" spans="2:8" x14ac:dyDescent="0.35">
      <c r="F59" s="1"/>
    </row>
    <row r="60" spans="2:8" x14ac:dyDescent="0.35">
      <c r="F60" s="1"/>
    </row>
    <row r="61" spans="2:8" x14ac:dyDescent="0.35">
      <c r="F61" s="1"/>
    </row>
    <row r="62" spans="2:8" x14ac:dyDescent="0.35">
      <c r="F62" s="1"/>
    </row>
    <row r="63" spans="2:8" x14ac:dyDescent="0.35">
      <c r="F63" s="1"/>
    </row>
  </sheetData>
  <mergeCells count="1">
    <mergeCell ref="B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F927-2BB5-48EB-8972-8E6A116713E4}">
  <dimension ref="B3:L11"/>
  <sheetViews>
    <sheetView topLeftCell="D1" workbookViewId="0">
      <selection activeCell="C3" sqref="C3"/>
    </sheetView>
  </sheetViews>
  <sheetFormatPr baseColWidth="10" defaultRowHeight="14.5" x14ac:dyDescent="0.35"/>
  <cols>
    <col min="4" max="4" width="18.7265625" bestFit="1" customWidth="1"/>
    <col min="5" max="5" width="18.7265625" customWidth="1"/>
    <col min="6" max="6" width="25.54296875" bestFit="1" customWidth="1"/>
    <col min="7" max="7" width="23.7265625" bestFit="1" customWidth="1"/>
    <col min="8" max="8" width="12.7265625" bestFit="1" customWidth="1"/>
    <col min="9" max="9" width="16.1796875" bestFit="1" customWidth="1"/>
  </cols>
  <sheetData>
    <row r="3" spans="2:12" x14ac:dyDescent="0.35">
      <c r="B3" t="s">
        <v>45</v>
      </c>
      <c r="C3" t="s">
        <v>46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23</v>
      </c>
      <c r="L3" s="2" t="s">
        <v>44</v>
      </c>
    </row>
    <row r="4" spans="2:12" x14ac:dyDescent="0.35">
      <c r="B4">
        <v>0</v>
      </c>
      <c r="D4" s="2">
        <v>1</v>
      </c>
      <c r="E4" s="7">
        <v>50.166666666666664</v>
      </c>
      <c r="F4" s="3">
        <v>18010</v>
      </c>
      <c r="G4" s="3">
        <v>14700</v>
      </c>
      <c r="H4" s="6">
        <v>1.18</v>
      </c>
      <c r="I4" s="6">
        <v>3.55</v>
      </c>
      <c r="J4" s="2">
        <v>1.59</v>
      </c>
      <c r="K4" s="5">
        <f>G4/(F4)</f>
        <v>0.81621321488062193</v>
      </c>
      <c r="L4" s="1">
        <v>7.11</v>
      </c>
    </row>
    <row r="5" spans="2:12" x14ac:dyDescent="0.35">
      <c r="B5">
        <v>1</v>
      </c>
      <c r="D5" s="2">
        <v>2</v>
      </c>
      <c r="E5" s="7">
        <v>23.333333333333336</v>
      </c>
      <c r="F5" s="3">
        <v>18000</v>
      </c>
      <c r="G5" s="3">
        <v>15300</v>
      </c>
      <c r="H5" s="6">
        <v>1.57</v>
      </c>
      <c r="I5" s="6">
        <v>4.3</v>
      </c>
      <c r="J5" s="2">
        <v>1.33</v>
      </c>
      <c r="K5" s="5">
        <f t="shared" ref="K5:K10" si="0">G5/(F5)</f>
        <v>0.85</v>
      </c>
      <c r="L5" s="1">
        <v>6.41</v>
      </c>
    </row>
    <row r="6" spans="2:12" x14ac:dyDescent="0.35">
      <c r="B6">
        <v>2</v>
      </c>
      <c r="D6" s="2">
        <v>3</v>
      </c>
      <c r="E6" s="7">
        <v>24.5</v>
      </c>
      <c r="F6" s="3">
        <v>17800</v>
      </c>
      <c r="G6" s="3">
        <v>15700</v>
      </c>
      <c r="H6" s="6">
        <v>0.73899999999999999</v>
      </c>
      <c r="I6" s="6">
        <v>3.49</v>
      </c>
      <c r="J6" s="2">
        <v>1.85</v>
      </c>
      <c r="K6" s="5">
        <f t="shared" si="0"/>
        <v>0.8820224719101124</v>
      </c>
      <c r="L6" s="1">
        <v>6.73</v>
      </c>
    </row>
    <row r="7" spans="2:12" x14ac:dyDescent="0.35">
      <c r="B7">
        <v>3</v>
      </c>
      <c r="D7" s="2">
        <v>4</v>
      </c>
      <c r="E7" s="7">
        <v>24.166666666666668</v>
      </c>
      <c r="F7" s="3">
        <v>18700</v>
      </c>
      <c r="G7" s="3">
        <v>15550</v>
      </c>
      <c r="H7" s="6">
        <v>1.78</v>
      </c>
      <c r="I7" s="6">
        <v>5.28</v>
      </c>
      <c r="J7" s="2">
        <v>1.35</v>
      </c>
      <c r="K7" s="5">
        <f t="shared" si="0"/>
        <v>0.83155080213903743</v>
      </c>
      <c r="L7" s="1">
        <v>7</v>
      </c>
    </row>
    <row r="8" spans="2:12" x14ac:dyDescent="0.35">
      <c r="B8">
        <v>4</v>
      </c>
      <c r="D8" s="2">
        <v>5</v>
      </c>
      <c r="E8" s="7">
        <v>24.833333333333336</v>
      </c>
      <c r="F8" s="3">
        <v>16700</v>
      </c>
      <c r="G8" s="3">
        <v>15340</v>
      </c>
      <c r="H8" s="6">
        <v>1.79</v>
      </c>
      <c r="I8" s="6">
        <v>4.8899999999999997</v>
      </c>
      <c r="J8" s="2">
        <v>1.37</v>
      </c>
      <c r="K8" s="5">
        <f t="shared" si="0"/>
        <v>0.91856287425149696</v>
      </c>
      <c r="L8" s="1">
        <v>6.54</v>
      </c>
    </row>
    <row r="9" spans="2:12" x14ac:dyDescent="0.35">
      <c r="B9">
        <v>5</v>
      </c>
      <c r="D9" s="2">
        <v>6</v>
      </c>
      <c r="E9" s="7">
        <v>24.500000000000004</v>
      </c>
      <c r="F9" s="3">
        <v>16000</v>
      </c>
      <c r="G9" s="3">
        <v>15100</v>
      </c>
      <c r="H9" s="6">
        <v>1.71</v>
      </c>
      <c r="I9" s="6">
        <v>4.8099999999999996</v>
      </c>
      <c r="J9" s="2">
        <v>1.58</v>
      </c>
      <c r="K9" s="5">
        <f t="shared" si="0"/>
        <v>0.94374999999999998</v>
      </c>
      <c r="L9" s="1">
        <v>7.75</v>
      </c>
    </row>
    <row r="10" spans="2:12" x14ac:dyDescent="0.35">
      <c r="B10">
        <v>6</v>
      </c>
      <c r="D10" s="2">
        <v>7</v>
      </c>
      <c r="E10" s="7">
        <v>14.833333333333332</v>
      </c>
      <c r="F10" s="3">
        <v>16760</v>
      </c>
      <c r="G10" s="3">
        <v>19000</v>
      </c>
      <c r="H10" s="6">
        <v>0.67600000000000005</v>
      </c>
      <c r="I10" s="6">
        <v>3.58</v>
      </c>
      <c r="J10" s="2">
        <v>1.97</v>
      </c>
      <c r="K10" s="5">
        <f t="shared" si="0"/>
        <v>1.1336515513126493</v>
      </c>
      <c r="L10" s="1">
        <v>6.84</v>
      </c>
    </row>
    <row r="11" spans="2:12" x14ac:dyDescent="0.35">
      <c r="B11">
        <v>7</v>
      </c>
      <c r="E11" s="8"/>
      <c r="F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 datos</vt:lpstr>
      <vt:lpstr>Condensado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Hernandez</dc:creator>
  <cp:lastModifiedBy>Rodrigo Yebra</cp:lastModifiedBy>
  <dcterms:created xsi:type="dcterms:W3CDTF">2026-09-11T23:33:41Z</dcterms:created>
  <dcterms:modified xsi:type="dcterms:W3CDTF">2026-10-28T18:14:41Z</dcterms:modified>
</cp:coreProperties>
</file>