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avimex-my.sharepoint.com/personal/rodrigo_yebra_labavimex_onmicrosoft_com1/Documents/Escritorio/"/>
    </mc:Choice>
  </mc:AlternateContent>
  <xr:revisionPtr revIDLastSave="0" documentId="8_{C5F831F4-E0AF-4794-BAFE-9F43E40B17E2}" xr6:coauthVersionLast="47" xr6:coauthVersionMax="47" xr10:uidLastSave="{00000000-0000-0000-0000-000000000000}"/>
  <bookViews>
    <workbookView xWindow="-110" yWindow="-110" windowWidth="19420" windowHeight="10300" firstSheet="2" activeTab="2" xr2:uid="{6601B3D9-7213-4571-B34F-75F5CB4EB11F}"/>
  </bookViews>
  <sheets>
    <sheet name="Hoja3" sheetId="3" state="hidden" r:id="rId1"/>
    <sheet name="Hoja1" sheetId="1" state="hidden" r:id="rId2"/>
    <sheet name="Hoja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2" i="2" l="1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11" i="2"/>
  <c r="Q31" i="2"/>
  <c r="R31" i="2" s="1"/>
  <c r="Q30" i="2"/>
  <c r="R30" i="2" s="1"/>
  <c r="Q29" i="2"/>
  <c r="R29" i="2" s="1"/>
  <c r="Q28" i="2"/>
  <c r="R28" i="2" s="1"/>
  <c r="Q27" i="2"/>
  <c r="R27" i="2" s="1"/>
  <c r="Q26" i="2"/>
  <c r="R26" i="2" s="1"/>
  <c r="Q25" i="2"/>
  <c r="R25" i="2" s="1"/>
  <c r="Q24" i="2"/>
  <c r="R24" i="2" s="1"/>
  <c r="Q23" i="2"/>
  <c r="R23" i="2" s="1"/>
  <c r="Q22" i="2"/>
  <c r="R22" i="2" s="1"/>
  <c r="Q21" i="2"/>
  <c r="R21" i="2" s="1"/>
  <c r="Q20" i="2"/>
  <c r="R20" i="2" s="1"/>
  <c r="Q19" i="2"/>
  <c r="R19" i="2" s="1"/>
  <c r="Q18" i="2"/>
  <c r="R18" i="2" s="1"/>
  <c r="Q17" i="2"/>
  <c r="R17" i="2" s="1"/>
  <c r="Q16" i="2"/>
  <c r="R16" i="2" s="1"/>
  <c r="Q15" i="2"/>
  <c r="R15" i="2" s="1"/>
  <c r="Q12" i="2"/>
  <c r="R12" i="2" s="1"/>
  <c r="Q13" i="2"/>
  <c r="R13" i="2" s="1"/>
  <c r="Q14" i="2"/>
  <c r="R14" i="2" s="1"/>
  <c r="Q11" i="2"/>
  <c r="R11" i="2" s="1"/>
  <c r="O12" i="2"/>
  <c r="P12" i="2" s="1"/>
  <c r="O13" i="2"/>
  <c r="P13" i="2" s="1"/>
  <c r="O14" i="2"/>
  <c r="P14" i="2" s="1"/>
  <c r="O15" i="2"/>
  <c r="P15" i="2" s="1"/>
  <c r="O16" i="2"/>
  <c r="P16" i="2" s="1"/>
  <c r="O17" i="2"/>
  <c r="P17" i="2" s="1"/>
  <c r="O18" i="2"/>
  <c r="P18" i="2" s="1"/>
  <c r="O19" i="2"/>
  <c r="P19" i="2" s="1"/>
  <c r="O20" i="2"/>
  <c r="P20" i="2" s="1"/>
  <c r="O21" i="2"/>
  <c r="P21" i="2" s="1"/>
  <c r="O22" i="2"/>
  <c r="P22" i="2" s="1"/>
  <c r="O23" i="2"/>
  <c r="P23" i="2" s="1"/>
  <c r="O24" i="2"/>
  <c r="P24" i="2" s="1"/>
  <c r="O25" i="2"/>
  <c r="P25" i="2" s="1"/>
  <c r="O26" i="2"/>
  <c r="P26" i="2" s="1"/>
  <c r="O27" i="2"/>
  <c r="P27" i="2" s="1"/>
  <c r="O28" i="2"/>
  <c r="P28" i="2" s="1"/>
  <c r="O29" i="2"/>
  <c r="P29" i="2" s="1"/>
  <c r="O30" i="2"/>
  <c r="P30" i="2" s="1"/>
  <c r="O31" i="2"/>
  <c r="P31" i="2" s="1"/>
  <c r="O11" i="2"/>
  <c r="P11" i="2" s="1"/>
  <c r="J11" i="2" l="1"/>
  <c r="I11" i="2"/>
  <c r="G29" i="2"/>
  <c r="I29" i="2" s="1"/>
  <c r="G23" i="2"/>
  <c r="I23" i="2" s="1"/>
  <c r="G17" i="2"/>
  <c r="I17" i="2" s="1"/>
  <c r="G15" i="2"/>
  <c r="I15" i="2" s="1"/>
  <c r="G13" i="2"/>
  <c r="I13" i="2" s="1"/>
  <c r="G14" i="2"/>
  <c r="I14" i="2" s="1"/>
  <c r="G16" i="2"/>
  <c r="I16" i="2" s="1"/>
  <c r="G18" i="2"/>
  <c r="I18" i="2" s="1"/>
  <c r="G19" i="2"/>
  <c r="I19" i="2" s="1"/>
  <c r="G20" i="2"/>
  <c r="I20" i="2" s="1"/>
  <c r="G21" i="2"/>
  <c r="I21" i="2" s="1"/>
  <c r="G22" i="2"/>
  <c r="I22" i="2" s="1"/>
  <c r="G24" i="2"/>
  <c r="I24" i="2" s="1"/>
  <c r="G25" i="2"/>
  <c r="I25" i="2" s="1"/>
  <c r="G26" i="2"/>
  <c r="I26" i="2" s="1"/>
  <c r="G27" i="2"/>
  <c r="I27" i="2" s="1"/>
  <c r="G28" i="2"/>
  <c r="I28" i="2" s="1"/>
  <c r="G30" i="2"/>
  <c r="I30" i="2" s="1"/>
  <c r="G31" i="2"/>
  <c r="I31" i="2" s="1"/>
  <c r="G12" i="2"/>
  <c r="H12" i="2" s="1"/>
  <c r="H13" i="2" l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J31" i="2" s="1"/>
  <c r="AA31" i="2" s="1"/>
  <c r="AA11" i="2"/>
  <c r="Z11" i="2"/>
  <c r="T11" i="2" s="1"/>
  <c r="U11" i="2" s="1"/>
  <c r="AB11" i="2"/>
  <c r="X11" i="2" s="1"/>
  <c r="Y11" i="2" s="1"/>
  <c r="J12" i="2"/>
  <c r="I12" i="2"/>
  <c r="V11" i="2" l="1"/>
  <c r="W11" i="2" s="1"/>
  <c r="V31" i="2"/>
  <c r="W31" i="2" s="1"/>
  <c r="J24" i="2"/>
  <c r="AA24" i="2" s="1"/>
  <c r="J14" i="2"/>
  <c r="AB14" i="2" s="1"/>
  <c r="X14" i="2" s="1"/>
  <c r="Y14" i="2" s="1"/>
  <c r="J25" i="2"/>
  <c r="AA25" i="2" s="1"/>
  <c r="J22" i="2"/>
  <c r="AB22" i="2" s="1"/>
  <c r="X22" i="2" s="1"/>
  <c r="Y22" i="2" s="1"/>
  <c r="J27" i="2"/>
  <c r="AA27" i="2" s="1"/>
  <c r="J30" i="2"/>
  <c r="Z30" i="2" s="1"/>
  <c r="T30" i="2" s="1"/>
  <c r="U30" i="2" s="1"/>
  <c r="J19" i="2"/>
  <c r="Z19" i="2" s="1"/>
  <c r="T19" i="2" s="1"/>
  <c r="U19" i="2" s="1"/>
  <c r="J26" i="2"/>
  <c r="AB26" i="2" s="1"/>
  <c r="X26" i="2" s="1"/>
  <c r="Y26" i="2" s="1"/>
  <c r="J20" i="2"/>
  <c r="Z20" i="2" s="1"/>
  <c r="T20" i="2" s="1"/>
  <c r="U20" i="2" s="1"/>
  <c r="J13" i="2"/>
  <c r="AB13" i="2" s="1"/>
  <c r="X13" i="2" s="1"/>
  <c r="Y13" i="2" s="1"/>
  <c r="J28" i="2"/>
  <c r="Z28" i="2" s="1"/>
  <c r="T28" i="2" s="1"/>
  <c r="U28" i="2" s="1"/>
  <c r="J29" i="2"/>
  <c r="Z29" i="2" s="1"/>
  <c r="T29" i="2" s="1"/>
  <c r="U29" i="2" s="1"/>
  <c r="J16" i="2"/>
  <c r="AA16" i="2" s="1"/>
  <c r="J18" i="2"/>
  <c r="AB18" i="2" s="1"/>
  <c r="X18" i="2" s="1"/>
  <c r="Y18" i="2" s="1"/>
  <c r="J23" i="2"/>
  <c r="Z23" i="2" s="1"/>
  <c r="T23" i="2" s="1"/>
  <c r="U23" i="2" s="1"/>
  <c r="AB31" i="2"/>
  <c r="X31" i="2" s="1"/>
  <c r="Y31" i="2" s="1"/>
  <c r="Z31" i="2"/>
  <c r="T31" i="2" s="1"/>
  <c r="U31" i="2" s="1"/>
  <c r="J21" i="2"/>
  <c r="AB21" i="2" s="1"/>
  <c r="X21" i="2" s="1"/>
  <c r="Y21" i="2" s="1"/>
  <c r="J15" i="2"/>
  <c r="Z15" i="2" s="1"/>
  <c r="T15" i="2" s="1"/>
  <c r="U15" i="2" s="1"/>
  <c r="J17" i="2"/>
  <c r="AA17" i="2" s="1"/>
  <c r="Z12" i="2"/>
  <c r="T12" i="2" s="1"/>
  <c r="U12" i="2" s="1"/>
  <c r="AB12" i="2"/>
  <c r="X12" i="2" s="1"/>
  <c r="Y12" i="2" s="1"/>
  <c r="AA12" i="2"/>
  <c r="Z24" i="2" l="1"/>
  <c r="T24" i="2" s="1"/>
  <c r="U24" i="2" s="1"/>
  <c r="AA22" i="2"/>
  <c r="V22" i="2" s="1"/>
  <c r="W22" i="2" s="1"/>
  <c r="V24" i="2"/>
  <c r="W24" i="2" s="1"/>
  <c r="V17" i="2"/>
  <c r="W17" i="2" s="1"/>
  <c r="AA14" i="2"/>
  <c r="AB24" i="2"/>
  <c r="X24" i="2" s="1"/>
  <c r="Y24" i="2" s="1"/>
  <c r="V25" i="2"/>
  <c r="W25" i="2" s="1"/>
  <c r="V12" i="2"/>
  <c r="W12" i="2" s="1"/>
  <c r="AB28" i="2"/>
  <c r="X28" i="2" s="1"/>
  <c r="Y28" i="2" s="1"/>
  <c r="V16" i="2"/>
  <c r="W16" i="2" s="1"/>
  <c r="V27" i="2"/>
  <c r="W27" i="2" s="1"/>
  <c r="AB30" i="2"/>
  <c r="X30" i="2" s="1"/>
  <c r="Y30" i="2" s="1"/>
  <c r="AA26" i="2"/>
  <c r="AA18" i="2"/>
  <c r="AB17" i="2"/>
  <c r="X17" i="2" s="1"/>
  <c r="Y17" i="2" s="1"/>
  <c r="AB19" i="2"/>
  <c r="X19" i="2" s="1"/>
  <c r="Y19" i="2" s="1"/>
  <c r="Z18" i="2"/>
  <c r="T18" i="2" s="1"/>
  <c r="U18" i="2" s="1"/>
  <c r="AA19" i="2"/>
  <c r="AB23" i="2"/>
  <c r="X23" i="2" s="1"/>
  <c r="Y23" i="2" s="1"/>
  <c r="AA23" i="2"/>
  <c r="Z14" i="2"/>
  <c r="T14" i="2" s="1"/>
  <c r="U14" i="2" s="1"/>
  <c r="AA30" i="2"/>
  <c r="AB16" i="2"/>
  <c r="X16" i="2" s="1"/>
  <c r="Y16" i="2" s="1"/>
  <c r="AB25" i="2"/>
  <c r="X25" i="2" s="1"/>
  <c r="Y25" i="2" s="1"/>
  <c r="Z26" i="2"/>
  <c r="T26" i="2" s="1"/>
  <c r="U26" i="2" s="1"/>
  <c r="Z25" i="2"/>
  <c r="T25" i="2" s="1"/>
  <c r="U25" i="2" s="1"/>
  <c r="AA28" i="2"/>
  <c r="AA29" i="2"/>
  <c r="Z21" i="2"/>
  <c r="T21" i="2" s="1"/>
  <c r="U21" i="2" s="1"/>
  <c r="Z16" i="2"/>
  <c r="T16" i="2" s="1"/>
  <c r="U16" i="2" s="1"/>
  <c r="Z27" i="2"/>
  <c r="T27" i="2" s="1"/>
  <c r="U27" i="2" s="1"/>
  <c r="Z17" i="2"/>
  <c r="T17" i="2" s="1"/>
  <c r="U17" i="2" s="1"/>
  <c r="AB27" i="2"/>
  <c r="X27" i="2" s="1"/>
  <c r="Y27" i="2" s="1"/>
  <c r="Z13" i="2"/>
  <c r="T13" i="2" s="1"/>
  <c r="U13" i="2" s="1"/>
  <c r="AA20" i="2"/>
  <c r="AB29" i="2"/>
  <c r="X29" i="2" s="1"/>
  <c r="Y29" i="2" s="1"/>
  <c r="AA13" i="2"/>
  <c r="Z22" i="2"/>
  <c r="T22" i="2" s="1"/>
  <c r="U22" i="2" s="1"/>
  <c r="AB20" i="2"/>
  <c r="X20" i="2" s="1"/>
  <c r="Y20" i="2" s="1"/>
  <c r="AA21" i="2"/>
  <c r="AA15" i="2"/>
  <c r="AB15" i="2"/>
  <c r="X15" i="2" s="1"/>
  <c r="Y15" i="2" s="1"/>
  <c r="V19" i="2" l="1"/>
  <c r="W19" i="2" s="1"/>
  <c r="V15" i="2"/>
  <c r="W15" i="2" s="1"/>
  <c r="V14" i="2"/>
  <c r="W14" i="2" s="1"/>
  <c r="V30" i="2"/>
  <c r="W30" i="2" s="1"/>
  <c r="V18" i="2"/>
  <c r="W18" i="2" s="1"/>
  <c r="V21" i="2"/>
  <c r="W21" i="2" s="1"/>
  <c r="V13" i="2"/>
  <c r="W13" i="2" s="1"/>
  <c r="V26" i="2"/>
  <c r="W26" i="2" s="1"/>
  <c r="V29" i="2"/>
  <c r="W29" i="2" s="1"/>
  <c r="V23" i="2"/>
  <c r="W23" i="2" s="1"/>
  <c r="V20" i="2"/>
  <c r="W20" i="2" s="1"/>
  <c r="V28" i="2"/>
  <c r="W28" i="2" s="1"/>
</calcChain>
</file>

<file path=xl/sharedStrings.xml><?xml version="1.0" encoding="utf-8"?>
<sst xmlns="http://schemas.openxmlformats.org/spreadsheetml/2006/main" count="246" uniqueCount="111">
  <si>
    <t>No.</t>
  </si>
  <si>
    <t>Fecha</t>
  </si>
  <si>
    <t>Hora</t>
  </si>
  <si>
    <t>% confluencia</t>
  </si>
  <si>
    <t>Morfología</t>
  </si>
  <si>
    <t>Volumen Operativo (mL)</t>
  </si>
  <si>
    <t>Glucosa (g/L)</t>
  </si>
  <si>
    <t>Lactato (g/L)</t>
  </si>
  <si>
    <t>Glutamina (mM)</t>
  </si>
  <si>
    <t>Glutamato (mM)</t>
  </si>
  <si>
    <t>Amonio (mg/L)</t>
  </si>
  <si>
    <t>Potasio (g/mol)</t>
  </si>
  <si>
    <t>UHA Dilución</t>
  </si>
  <si>
    <t>%DO Set point 30%</t>
  </si>
  <si>
    <t>pH Set point 7.2</t>
  </si>
  <si>
    <t>Temperatura Set point 37°C</t>
  </si>
  <si>
    <t>*Flujo de recirculación (rpm)</t>
  </si>
  <si>
    <t>Foto</t>
  </si>
  <si>
    <t>Epitelial</t>
  </si>
  <si>
    <t>NA</t>
  </si>
  <si>
    <t>&lt;1:2</t>
  </si>
  <si>
    <t>37°C</t>
  </si>
  <si>
    <t>12 rocks / 4 / 55 rpm</t>
  </si>
  <si>
    <t>✓</t>
  </si>
  <si>
    <t>35°C</t>
  </si>
  <si>
    <t>37.3°C</t>
  </si>
  <si>
    <t>37.4°C</t>
  </si>
  <si>
    <t>37.1°C</t>
  </si>
  <si>
    <t>✓ (1° perfusión)</t>
  </si>
  <si>
    <t>80%-85%</t>
  </si>
  <si>
    <t>✓ (1° cosecha)</t>
  </si>
  <si>
    <t>37.5°C</t>
  </si>
  <si>
    <t>✓ (2° perfusión)</t>
  </si>
  <si>
    <t>3.94 / 3.38</t>
  </si>
  <si>
    <t>✓ (2° cosecha)</t>
  </si>
  <si>
    <t>✓ (3° perfusión)</t>
  </si>
  <si>
    <t>✓ (3° cosecha)</t>
  </si>
  <si>
    <t>✓ (4° perfusión)</t>
  </si>
  <si>
    <t>&gt;70</t>
  </si>
  <si>
    <t>Glucosa</t>
  </si>
  <si>
    <t>g/L</t>
  </si>
  <si>
    <t>Hoja física</t>
  </si>
  <si>
    <t>Modelado</t>
  </si>
  <si>
    <t>Aquí tienes una tabla estructurada con los datos de caracterización celular obtenidos de la imagen:</t>
  </si>
  <si>
    <t>% Confluencia</t>
  </si>
  <si>
    <t>Glucosa (g/mol)</t>
  </si>
  <si>
    <t>Potasio (mg/L)</t>
  </si>
  <si>
    <t>Temp. Set point 37°C</t>
  </si>
  <si>
    <t>Foto / Observaciones</t>
  </si>
  <si>
    <t>80%–85%</t>
  </si>
  <si>
    <t>37.2°C</t>
  </si>
  <si>
    <t>12 rocks / 44 / 50 rpm</t>
  </si>
  <si>
    <t>4º cosecha</t>
  </si>
  <si>
    <t>37.0°C</t>
  </si>
  <si>
    <t>12 rocks / 44 / 55 rpm</t>
  </si>
  <si>
    <t>5ª perfusión</t>
  </si>
  <si>
    <t>5ª cosecha</t>
  </si>
  <si>
    <t>36.9°C</t>
  </si>
  <si>
    <t>6ª perfusión</t>
  </si>
  <si>
    <t>&lt;70%</t>
  </si>
  <si>
    <t>6ª cosecha</t>
  </si>
  <si>
    <t>7ª perfusión</t>
  </si>
  <si>
    <t>7ª cosecha</t>
  </si>
  <si>
    <t>&lt;60%</t>
  </si>
  <si>
    <t>8ª perfusión</t>
  </si>
  <si>
    <t>Lactato</t>
  </si>
  <si>
    <t>L-glutamina</t>
  </si>
  <si>
    <t>Tiempo</t>
  </si>
  <si>
    <t>h</t>
  </si>
  <si>
    <t>dd-mmm-aa</t>
  </si>
  <si>
    <t>Diferencial de Hora</t>
  </si>
  <si>
    <t>Hora Acumulada</t>
  </si>
  <si>
    <t>Tiempo trasncurrido</t>
  </si>
  <si>
    <t>Hora total</t>
  </si>
  <si>
    <t>Título viral</t>
  </si>
  <si>
    <t>Inicio 1° Perfusión</t>
  </si>
  <si>
    <t>Término de 1° Perfusión</t>
  </si>
  <si>
    <t>Inicio 2° Perfusión</t>
  </si>
  <si>
    <t>Término de 2° Perfusión</t>
  </si>
  <si>
    <t>Inicio 3° Perfusión</t>
  </si>
  <si>
    <t>Término de 3° Perfusión</t>
  </si>
  <si>
    <t>Inicio 4° Perfusión</t>
  </si>
  <si>
    <t>Término de 4° Perfusión</t>
  </si>
  <si>
    <t>Inicio 5° Perfusión</t>
  </si>
  <si>
    <t>Término de 5° Perfusión</t>
  </si>
  <si>
    <t>Inicio 6° Perfusión</t>
  </si>
  <si>
    <t>Término de 6° Perfusión</t>
  </si>
  <si>
    <t>Inicio 7° Perfusión</t>
  </si>
  <si>
    <t>Término de 7° Perfusión</t>
  </si>
  <si>
    <t>Inicio 8° Perfusión</t>
  </si>
  <si>
    <t>Término de 8° Perfusión</t>
  </si>
  <si>
    <t>Recuperación 9° Cosecha</t>
  </si>
  <si>
    <t>Lote</t>
  </si>
  <si>
    <t>Modelo 1</t>
  </si>
  <si>
    <t>Modelo 2</t>
  </si>
  <si>
    <t>Modelo 3</t>
  </si>
  <si>
    <t>mM</t>
  </si>
  <si>
    <t>DICC50%/mL</t>
  </si>
  <si>
    <t>Activivdad</t>
  </si>
  <si>
    <t>No. #</t>
  </si>
  <si>
    <t>Error Total</t>
  </si>
  <si>
    <t>H vs M</t>
  </si>
  <si>
    <t>H vs M1</t>
  </si>
  <si>
    <t>g/l</t>
  </si>
  <si>
    <t>H vs M2</t>
  </si>
  <si>
    <t>H vs M3</t>
  </si>
  <si>
    <r>
      <rPr>
        <b/>
        <i/>
        <sz val="10"/>
        <color theme="1"/>
        <rFont val="Aptos Narrow"/>
        <family val="2"/>
        <scheme val="minor"/>
      </rPr>
      <t xml:space="preserve">Hoja física: </t>
    </r>
    <r>
      <rPr>
        <i/>
        <sz val="10"/>
        <color theme="1"/>
        <rFont val="Aptos Narrow"/>
        <family val="2"/>
        <scheme val="minor"/>
      </rPr>
      <t>Estandar-Hoja proporcionada en físico</t>
    </r>
  </si>
  <si>
    <r>
      <rPr>
        <b/>
        <i/>
        <sz val="10"/>
        <color theme="1"/>
        <rFont val="Aptos Narrow"/>
        <family val="2"/>
        <scheme val="minor"/>
      </rPr>
      <t>Modelado:</t>
    </r>
    <r>
      <rPr>
        <i/>
        <sz val="10"/>
        <color theme="1"/>
        <rFont val="Aptos Narrow"/>
        <family val="2"/>
        <scheme val="minor"/>
      </rPr>
      <t xml:space="preserve"> Prueba del los diferentes modelos</t>
    </r>
  </si>
  <si>
    <r>
      <rPr>
        <b/>
        <i/>
        <sz val="10"/>
        <color theme="1"/>
        <rFont val="Aptos Narrow"/>
        <family val="2"/>
        <scheme val="minor"/>
      </rPr>
      <t xml:space="preserve">H vs M: </t>
    </r>
    <r>
      <rPr>
        <i/>
        <sz val="10"/>
        <color theme="1"/>
        <rFont val="Aptos Narrow"/>
        <family val="2"/>
        <scheme val="minor"/>
      </rPr>
      <t>Error calculado entre el Estandar (Volores en la hoja en físico) vs (Datos obtenidos a traves de los diferentes modelos)</t>
    </r>
  </si>
  <si>
    <t>Se consideran como valores aceptables ideales aquellos que estan entre un +/- 5% de Error porcentual total y como aceptables aquellos que estan entre un +/+15% de Error porcentual total</t>
  </si>
  <si>
    <t xml:space="preserve">COMPARTIVA DE DATOS REALES (HOJA FÍSICA) CON 3 MODELOS PREDICTIVOS PARA LAS VARIABLES GLUCOSA, LACTATO, L-GLUTAMINA Y TÍTULO VIRAL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</si>
</sst>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80A]dd&quot; - &quot;mmmm&quot; - &quot;yyyy;@"/>
    <numFmt numFmtId="166" formatCode="[hh]:mm:ss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i/>
      <u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7" xfId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9" fontId="0" fillId="0" borderId="5" xfId="1" applyFont="1" applyBorder="1" applyAlignment="1">
      <alignment horizontal="center" vertical="center"/>
    </xf>
    <xf numFmtId="9" fontId="0" fillId="0" borderId="8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7" fillId="0" borderId="0" xfId="0" applyFont="1"/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30"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FFFF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FFFF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FFFF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FFFF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FFFF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FFFFCC"/>
        </patternFill>
      </fill>
    </dxf>
    <dxf>
      <fill>
        <patternFill>
          <bgColor rgb="FFFFCCCC"/>
        </patternFill>
      </fill>
    </dxf>
  </dxfs>
  <tableStyles count="0" defaultTableStyle="TableStyleMedium2" defaultPivotStyle="PivotStyleLight16"/>
  <colors>
    <mruColors>
      <color rgb="FFFFCCCC"/>
      <color rgb="FFCCFFCC"/>
      <color rgb="FFFFFFCC"/>
      <color rgb="FFF1A9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6E8FB-4705-45EF-ADCC-942327114E23}">
  <dimension ref="C3:T20"/>
  <sheetViews>
    <sheetView topLeftCell="G1" workbookViewId="0">
      <selection activeCell="M12" sqref="M12"/>
    </sheetView>
  </sheetViews>
  <sheetFormatPr baseColWidth="10" defaultRowHeight="14.5" x14ac:dyDescent="0.35"/>
  <sheetData>
    <row r="3" spans="3:20" x14ac:dyDescent="0.35">
      <c r="C3" t="s">
        <v>43</v>
      </c>
    </row>
    <row r="5" spans="3:20" x14ac:dyDescent="0.35">
      <c r="C5" t="s">
        <v>0</v>
      </c>
      <c r="D5" t="s">
        <v>1</v>
      </c>
      <c r="E5" t="s">
        <v>2</v>
      </c>
      <c r="F5" t="s">
        <v>44</v>
      </c>
      <c r="G5" t="s">
        <v>4</v>
      </c>
      <c r="H5" t="s">
        <v>5</v>
      </c>
      <c r="I5" t="s">
        <v>45</v>
      </c>
      <c r="J5" t="s">
        <v>7</v>
      </c>
      <c r="K5" t="s">
        <v>8</v>
      </c>
      <c r="L5" t="s">
        <v>9</v>
      </c>
      <c r="M5" t="s">
        <v>10</v>
      </c>
      <c r="N5" t="s">
        <v>46</v>
      </c>
      <c r="O5" t="s">
        <v>12</v>
      </c>
      <c r="P5" t="s">
        <v>13</v>
      </c>
      <c r="Q5" t="s">
        <v>14</v>
      </c>
      <c r="R5" t="s">
        <v>47</v>
      </c>
      <c r="S5" t="s">
        <v>16</v>
      </c>
      <c r="T5" t="s">
        <v>48</v>
      </c>
    </row>
    <row r="6" spans="3:20" x14ac:dyDescent="0.35">
      <c r="C6">
        <v>0</v>
      </c>
      <c r="D6">
        <v>46277</v>
      </c>
      <c r="E6">
        <v>0.44791666666666669</v>
      </c>
      <c r="F6" t="s">
        <v>49</v>
      </c>
      <c r="G6" t="s">
        <v>18</v>
      </c>
      <c r="H6">
        <v>14150</v>
      </c>
      <c r="I6">
        <v>2.88</v>
      </c>
      <c r="J6">
        <v>0.69</v>
      </c>
      <c r="K6">
        <v>2.39</v>
      </c>
      <c r="L6">
        <v>0.438</v>
      </c>
      <c r="M6" t="s">
        <v>19</v>
      </c>
      <c r="N6" t="s">
        <v>19</v>
      </c>
      <c r="O6">
        <v>5.2777777777777778E-2</v>
      </c>
      <c r="P6">
        <v>0.29899999999999999</v>
      </c>
      <c r="Q6">
        <v>7.1</v>
      </c>
      <c r="R6" t="s">
        <v>50</v>
      </c>
      <c r="S6" t="s">
        <v>51</v>
      </c>
      <c r="T6" t="s">
        <v>52</v>
      </c>
    </row>
    <row r="8" spans="3:20" x14ac:dyDescent="0.35">
      <c r="C8">
        <v>1</v>
      </c>
      <c r="D8">
        <v>46279</v>
      </c>
      <c r="E8">
        <v>0.58680555555555558</v>
      </c>
      <c r="F8" t="s">
        <v>49</v>
      </c>
      <c r="G8" t="s">
        <v>18</v>
      </c>
      <c r="H8">
        <v>14370</v>
      </c>
      <c r="I8">
        <v>1.92</v>
      </c>
      <c r="J8">
        <v>0.90500000000000003</v>
      </c>
      <c r="K8">
        <v>2.0499999999999998</v>
      </c>
      <c r="L8">
        <v>0.51</v>
      </c>
      <c r="M8" t="s">
        <v>19</v>
      </c>
      <c r="N8" t="s">
        <v>19</v>
      </c>
      <c r="O8">
        <v>6.3888888888888884E-2</v>
      </c>
      <c r="P8">
        <v>0.30499999999999999</v>
      </c>
      <c r="Q8">
        <v>7.02</v>
      </c>
      <c r="R8" t="s">
        <v>53</v>
      </c>
      <c r="S8" t="s">
        <v>54</v>
      </c>
      <c r="T8" t="s">
        <v>55</v>
      </c>
    </row>
    <row r="10" spans="3:20" x14ac:dyDescent="0.35">
      <c r="C10">
        <v>2</v>
      </c>
      <c r="D10">
        <v>46280</v>
      </c>
      <c r="E10">
        <v>0.50347222222222221</v>
      </c>
      <c r="F10">
        <v>0.8</v>
      </c>
      <c r="G10" t="s">
        <v>18</v>
      </c>
      <c r="H10">
        <v>14050</v>
      </c>
      <c r="I10">
        <v>2.25</v>
      </c>
      <c r="J10">
        <v>0.70499999999999996</v>
      </c>
      <c r="K10">
        <v>2.4500000000000002</v>
      </c>
      <c r="L10">
        <v>0.40500000000000003</v>
      </c>
      <c r="M10" t="s">
        <v>19</v>
      </c>
      <c r="N10" t="s">
        <v>19</v>
      </c>
      <c r="O10">
        <v>5.2777777777777778E-2</v>
      </c>
      <c r="P10">
        <v>0.29099999999999998</v>
      </c>
      <c r="Q10">
        <v>7.12</v>
      </c>
      <c r="R10" t="s">
        <v>53</v>
      </c>
      <c r="S10" t="s">
        <v>54</v>
      </c>
      <c r="T10" t="s">
        <v>56</v>
      </c>
    </row>
    <row r="12" spans="3:20" x14ac:dyDescent="0.35">
      <c r="C12">
        <v>3</v>
      </c>
      <c r="D12">
        <v>46281</v>
      </c>
      <c r="E12">
        <v>0.57291666666666663</v>
      </c>
      <c r="F12">
        <v>0.8</v>
      </c>
      <c r="G12" t="s">
        <v>18</v>
      </c>
      <c r="H12">
        <v>14670</v>
      </c>
      <c r="I12">
        <v>1.88</v>
      </c>
      <c r="J12">
        <v>0.92</v>
      </c>
      <c r="K12">
        <v>1.9</v>
      </c>
      <c r="L12">
        <v>0.621</v>
      </c>
      <c r="M12" t="s">
        <v>19</v>
      </c>
      <c r="N12" t="s">
        <v>19</v>
      </c>
      <c r="O12">
        <v>5.2777777777777778E-2</v>
      </c>
      <c r="P12">
        <v>0.28299999999999997</v>
      </c>
      <c r="Q12">
        <v>6.98</v>
      </c>
      <c r="R12" t="s">
        <v>57</v>
      </c>
      <c r="S12" t="s">
        <v>54</v>
      </c>
      <c r="T12" t="s">
        <v>58</v>
      </c>
    </row>
    <row r="14" spans="3:20" x14ac:dyDescent="0.35">
      <c r="C14">
        <v>4</v>
      </c>
      <c r="D14">
        <v>46282</v>
      </c>
      <c r="E14">
        <v>0.59722222222222221</v>
      </c>
      <c r="F14" t="s">
        <v>59</v>
      </c>
      <c r="G14" t="s">
        <v>18</v>
      </c>
      <c r="H14">
        <v>14260</v>
      </c>
      <c r="I14">
        <v>2</v>
      </c>
      <c r="J14">
        <v>0.83799999999999997</v>
      </c>
      <c r="K14">
        <v>1.45</v>
      </c>
      <c r="L14">
        <v>0.47</v>
      </c>
      <c r="M14" t="s">
        <v>19</v>
      </c>
      <c r="N14" t="s">
        <v>19</v>
      </c>
      <c r="O14">
        <v>4.7222222222222221E-2</v>
      </c>
      <c r="P14">
        <v>0.28799999999999998</v>
      </c>
      <c r="Q14">
        <v>6.9</v>
      </c>
      <c r="R14" t="s">
        <v>25</v>
      </c>
      <c r="S14" t="s">
        <v>54</v>
      </c>
      <c r="T14" t="s">
        <v>60</v>
      </c>
    </row>
    <row r="16" spans="3:20" x14ac:dyDescent="0.35">
      <c r="C16">
        <v>5</v>
      </c>
      <c r="D16">
        <v>46283</v>
      </c>
      <c r="E16">
        <v>0.625</v>
      </c>
      <c r="F16" t="s">
        <v>59</v>
      </c>
      <c r="G16" t="s">
        <v>18</v>
      </c>
      <c r="H16">
        <v>15100</v>
      </c>
      <c r="I16">
        <v>1.79</v>
      </c>
      <c r="J16">
        <v>1.22</v>
      </c>
      <c r="K16">
        <v>1.28</v>
      </c>
      <c r="L16">
        <v>0.4</v>
      </c>
      <c r="M16" t="s">
        <v>19</v>
      </c>
      <c r="N16" t="s">
        <v>19</v>
      </c>
      <c r="O16">
        <v>5.2777777777777778E-2</v>
      </c>
      <c r="P16">
        <v>0.28999999999999998</v>
      </c>
      <c r="Q16">
        <v>6.95</v>
      </c>
      <c r="R16" t="s">
        <v>53</v>
      </c>
      <c r="S16" t="s">
        <v>54</v>
      </c>
      <c r="T16" t="s">
        <v>61</v>
      </c>
    </row>
    <row r="18" spans="3:20" x14ac:dyDescent="0.35">
      <c r="C18">
        <v>6</v>
      </c>
      <c r="D18">
        <v>46284</v>
      </c>
      <c r="E18">
        <v>0.4375</v>
      </c>
      <c r="F18" t="s">
        <v>59</v>
      </c>
      <c r="G18" t="s">
        <v>18</v>
      </c>
      <c r="H18">
        <v>14800</v>
      </c>
      <c r="I18">
        <v>2.2999999999999998</v>
      </c>
      <c r="J18">
        <v>1.1000000000000001</v>
      </c>
      <c r="K18">
        <v>1.48</v>
      </c>
      <c r="L18">
        <v>0.67</v>
      </c>
      <c r="M18" t="s">
        <v>19</v>
      </c>
      <c r="N18" t="s">
        <v>19</v>
      </c>
      <c r="O18">
        <v>4.4444444444444446E-2</v>
      </c>
      <c r="P18">
        <v>0.28999999999999998</v>
      </c>
      <c r="Q18">
        <v>6.89</v>
      </c>
      <c r="R18" t="s">
        <v>57</v>
      </c>
      <c r="S18" t="s">
        <v>54</v>
      </c>
      <c r="T18" t="s">
        <v>62</v>
      </c>
    </row>
    <row r="20" spans="3:20" x14ac:dyDescent="0.35">
      <c r="C20">
        <v>7</v>
      </c>
      <c r="D20">
        <v>46286</v>
      </c>
      <c r="E20">
        <v>0.61250000000000004</v>
      </c>
      <c r="F20" t="s">
        <v>63</v>
      </c>
      <c r="G20" t="s">
        <v>18</v>
      </c>
      <c r="H20">
        <v>14515</v>
      </c>
      <c r="I20">
        <v>1.6</v>
      </c>
      <c r="J20">
        <v>1.41</v>
      </c>
      <c r="K20">
        <v>2</v>
      </c>
      <c r="L20">
        <v>0.44</v>
      </c>
      <c r="M20" t="s">
        <v>19</v>
      </c>
      <c r="N20" t="s">
        <v>19</v>
      </c>
      <c r="O20">
        <v>4.7222222222222221E-2</v>
      </c>
      <c r="P20">
        <v>0.28899999999999998</v>
      </c>
      <c r="Q20">
        <v>6.85</v>
      </c>
      <c r="R20" t="s">
        <v>57</v>
      </c>
      <c r="S20" t="s">
        <v>54</v>
      </c>
      <c r="T20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57D5D-6509-49BD-A3E4-0358605C2B6D}">
  <dimension ref="B4:S15"/>
  <sheetViews>
    <sheetView workbookViewId="0">
      <selection activeCell="H5" sqref="H5:H15"/>
    </sheetView>
  </sheetViews>
  <sheetFormatPr baseColWidth="10" defaultRowHeight="14.5" x14ac:dyDescent="0.35"/>
  <sheetData>
    <row r="4" spans="2:19" x14ac:dyDescent="0.35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</row>
    <row r="5" spans="2:19" x14ac:dyDescent="0.35">
      <c r="B5">
        <v>0</v>
      </c>
      <c r="C5">
        <v>46266</v>
      </c>
      <c r="D5">
        <v>0.77430555555555558</v>
      </c>
      <c r="E5" t="s">
        <v>38</v>
      </c>
      <c r="F5" t="s">
        <v>18</v>
      </c>
      <c r="G5">
        <v>14.2</v>
      </c>
      <c r="H5">
        <v>4.96</v>
      </c>
      <c r="I5">
        <v>29</v>
      </c>
      <c r="J5">
        <v>5.59</v>
      </c>
      <c r="K5">
        <v>658</v>
      </c>
      <c r="L5" t="s">
        <v>19</v>
      </c>
      <c r="M5" t="s">
        <v>19</v>
      </c>
      <c r="N5" t="s">
        <v>20</v>
      </c>
      <c r="O5">
        <v>0.70899999999999996</v>
      </c>
      <c r="P5">
        <v>8.6</v>
      </c>
      <c r="Q5" t="s">
        <v>21</v>
      </c>
      <c r="R5" t="s">
        <v>22</v>
      </c>
      <c r="S5" t="s">
        <v>23</v>
      </c>
    </row>
    <row r="6" spans="2:19" x14ac:dyDescent="0.35">
      <c r="B6">
        <v>1</v>
      </c>
      <c r="C6">
        <v>46267</v>
      </c>
      <c r="D6">
        <v>0.70833333333333337</v>
      </c>
      <c r="E6" t="s">
        <v>38</v>
      </c>
      <c r="F6" t="s">
        <v>18</v>
      </c>
      <c r="G6">
        <v>14.09</v>
      </c>
      <c r="H6">
        <v>4.8899999999999997</v>
      </c>
      <c r="I6">
        <v>0.2</v>
      </c>
      <c r="J6">
        <v>4.8899999999999997</v>
      </c>
      <c r="K6">
        <v>0.76</v>
      </c>
      <c r="L6" t="s">
        <v>19</v>
      </c>
      <c r="M6" t="s">
        <v>19</v>
      </c>
      <c r="N6" t="s">
        <v>20</v>
      </c>
      <c r="O6">
        <v>0.60299999999999998</v>
      </c>
      <c r="P6">
        <v>8.1</v>
      </c>
      <c r="Q6" t="s">
        <v>24</v>
      </c>
      <c r="R6" t="s">
        <v>22</v>
      </c>
      <c r="S6" t="s">
        <v>23</v>
      </c>
    </row>
    <row r="7" spans="2:19" x14ac:dyDescent="0.35">
      <c r="B7">
        <v>2</v>
      </c>
      <c r="C7">
        <v>46268</v>
      </c>
      <c r="D7">
        <v>0.70833333333333337</v>
      </c>
      <c r="E7" t="s">
        <v>38</v>
      </c>
      <c r="F7" t="s">
        <v>18</v>
      </c>
      <c r="G7">
        <v>14.03</v>
      </c>
      <c r="H7">
        <v>4.2699999999999996</v>
      </c>
      <c r="I7">
        <v>0.42</v>
      </c>
      <c r="J7">
        <v>4.13</v>
      </c>
      <c r="K7">
        <v>933</v>
      </c>
      <c r="L7" t="s">
        <v>19</v>
      </c>
      <c r="M7" t="s">
        <v>19</v>
      </c>
      <c r="N7">
        <v>4.7222222222222221E-2</v>
      </c>
      <c r="O7">
        <v>0.60899999999999999</v>
      </c>
      <c r="P7">
        <v>7.97</v>
      </c>
      <c r="Q7" t="s">
        <v>25</v>
      </c>
      <c r="R7" t="s">
        <v>22</v>
      </c>
      <c r="S7" t="s">
        <v>23</v>
      </c>
    </row>
    <row r="8" spans="2:19" x14ac:dyDescent="0.35">
      <c r="B8">
        <v>3</v>
      </c>
      <c r="C8">
        <v>46269</v>
      </c>
      <c r="D8">
        <v>0.39583333333333331</v>
      </c>
      <c r="E8">
        <v>80</v>
      </c>
      <c r="F8" t="s">
        <v>18</v>
      </c>
      <c r="G8">
        <v>14.05</v>
      </c>
      <c r="H8">
        <v>3.96</v>
      </c>
      <c r="I8">
        <v>0.65</v>
      </c>
      <c r="J8">
        <v>3.64</v>
      </c>
      <c r="K8">
        <v>1.1000000000000001</v>
      </c>
      <c r="L8" t="s">
        <v>19</v>
      </c>
      <c r="M8" t="s">
        <v>19</v>
      </c>
      <c r="N8">
        <v>5.2777777777777778E-2</v>
      </c>
      <c r="O8">
        <v>0.48699999999999999</v>
      </c>
      <c r="P8">
        <v>7.68</v>
      </c>
      <c r="Q8" t="s">
        <v>26</v>
      </c>
      <c r="R8" t="s">
        <v>22</v>
      </c>
      <c r="S8" t="s">
        <v>23</v>
      </c>
    </row>
    <row r="9" spans="2:19" x14ac:dyDescent="0.35">
      <c r="B9">
        <v>4</v>
      </c>
      <c r="C9">
        <v>46269</v>
      </c>
      <c r="D9">
        <v>0.66666666666666663</v>
      </c>
      <c r="E9">
        <v>80</v>
      </c>
      <c r="F9" t="s">
        <v>18</v>
      </c>
      <c r="G9">
        <v>14.03</v>
      </c>
      <c r="H9">
        <v>3.52</v>
      </c>
      <c r="I9">
        <v>711</v>
      </c>
      <c r="J9">
        <v>3.34</v>
      </c>
      <c r="K9">
        <v>1.79</v>
      </c>
      <c r="L9" t="s">
        <v>19</v>
      </c>
      <c r="M9" t="s">
        <v>19</v>
      </c>
      <c r="N9">
        <v>5.2777777777777778E-2</v>
      </c>
      <c r="O9">
        <v>0.3</v>
      </c>
      <c r="P9">
        <v>7.32</v>
      </c>
      <c r="Q9" t="s">
        <v>27</v>
      </c>
      <c r="R9" t="s">
        <v>22</v>
      </c>
      <c r="S9" t="s">
        <v>28</v>
      </c>
    </row>
    <row r="10" spans="2:19" x14ac:dyDescent="0.35">
      <c r="B10">
        <v>5</v>
      </c>
      <c r="C10">
        <v>46270</v>
      </c>
      <c r="D10">
        <v>0.58333333333333337</v>
      </c>
      <c r="E10" t="s">
        <v>29</v>
      </c>
      <c r="F10" t="s">
        <v>18</v>
      </c>
      <c r="G10">
        <v>14.2</v>
      </c>
      <c r="H10">
        <v>3.33</v>
      </c>
      <c r="I10">
        <v>429</v>
      </c>
      <c r="J10">
        <v>3.94</v>
      </c>
      <c r="K10">
        <v>462</v>
      </c>
      <c r="L10" t="s">
        <v>19</v>
      </c>
      <c r="M10" t="s">
        <v>19</v>
      </c>
      <c r="N10">
        <v>4.7222222222222221E-2</v>
      </c>
      <c r="O10">
        <v>0.33</v>
      </c>
      <c r="P10">
        <v>6.98</v>
      </c>
      <c r="Q10" t="s">
        <v>27</v>
      </c>
      <c r="R10" t="s">
        <v>22</v>
      </c>
      <c r="S10" t="s">
        <v>30</v>
      </c>
    </row>
    <row r="11" spans="2:19" x14ac:dyDescent="0.35">
      <c r="B11">
        <v>6</v>
      </c>
      <c r="C11">
        <v>46272</v>
      </c>
      <c r="D11">
        <v>0.44444444444444442</v>
      </c>
      <c r="E11" t="s">
        <v>29</v>
      </c>
      <c r="F11" t="s">
        <v>18</v>
      </c>
      <c r="G11">
        <v>14.18</v>
      </c>
      <c r="H11">
        <v>2.39</v>
      </c>
      <c r="I11">
        <v>883</v>
      </c>
      <c r="J11">
        <v>2.8</v>
      </c>
      <c r="K11">
        <v>666</v>
      </c>
      <c r="L11" t="s">
        <v>19</v>
      </c>
      <c r="M11" t="s">
        <v>19</v>
      </c>
      <c r="N11">
        <v>6.3888888888888884E-2</v>
      </c>
      <c r="O11">
        <v>0.3</v>
      </c>
      <c r="P11">
        <v>7.23</v>
      </c>
      <c r="Q11" t="s">
        <v>31</v>
      </c>
      <c r="R11" t="s">
        <v>22</v>
      </c>
      <c r="S11" t="s">
        <v>32</v>
      </c>
    </row>
    <row r="12" spans="2:19" x14ac:dyDescent="0.35">
      <c r="B12">
        <v>7</v>
      </c>
      <c r="C12">
        <v>46273</v>
      </c>
      <c r="D12">
        <v>0.60416666666666663</v>
      </c>
      <c r="E12">
        <v>0.85</v>
      </c>
      <c r="F12" t="s">
        <v>18</v>
      </c>
      <c r="G12">
        <v>14.25</v>
      </c>
      <c r="H12">
        <v>2.95</v>
      </c>
      <c r="I12">
        <v>424</v>
      </c>
      <c r="J12" t="s">
        <v>33</v>
      </c>
      <c r="K12">
        <v>377</v>
      </c>
      <c r="L12" t="s">
        <v>19</v>
      </c>
      <c r="M12" t="s">
        <v>19</v>
      </c>
      <c r="N12">
        <v>5.2777777777777778E-2</v>
      </c>
      <c r="O12">
        <v>0.34</v>
      </c>
      <c r="P12">
        <v>7.55</v>
      </c>
      <c r="Q12" t="s">
        <v>27</v>
      </c>
      <c r="R12" t="s">
        <v>22</v>
      </c>
      <c r="S12" t="s">
        <v>34</v>
      </c>
    </row>
    <row r="13" spans="2:19" x14ac:dyDescent="0.35">
      <c r="B13">
        <v>8</v>
      </c>
      <c r="C13">
        <v>46274</v>
      </c>
      <c r="D13">
        <v>0.58333333333333337</v>
      </c>
      <c r="E13">
        <v>0.85</v>
      </c>
      <c r="F13" t="s">
        <v>18</v>
      </c>
      <c r="G13">
        <v>14.5</v>
      </c>
      <c r="H13">
        <v>2.71</v>
      </c>
      <c r="I13">
        <v>695</v>
      </c>
      <c r="J13">
        <v>2.89</v>
      </c>
      <c r="K13">
        <v>404</v>
      </c>
      <c r="L13" t="s">
        <v>19</v>
      </c>
      <c r="M13" t="s">
        <v>19</v>
      </c>
      <c r="N13">
        <v>5.2777777777777778E-2</v>
      </c>
      <c r="O13">
        <v>0.30199999999999999</v>
      </c>
      <c r="P13">
        <v>7.43</v>
      </c>
      <c r="Q13" t="s">
        <v>26</v>
      </c>
      <c r="R13" t="s">
        <v>22</v>
      </c>
      <c r="S13" t="s">
        <v>35</v>
      </c>
    </row>
    <row r="14" spans="2:19" x14ac:dyDescent="0.35">
      <c r="B14">
        <v>9</v>
      </c>
      <c r="C14">
        <v>46275</v>
      </c>
      <c r="D14">
        <v>0.61458333333333337</v>
      </c>
      <c r="E14">
        <v>0.85</v>
      </c>
      <c r="F14" t="s">
        <v>18</v>
      </c>
      <c r="G14">
        <v>14.2</v>
      </c>
      <c r="H14">
        <v>3.49</v>
      </c>
      <c r="I14">
        <v>583</v>
      </c>
      <c r="J14">
        <v>3.26</v>
      </c>
      <c r="K14">
        <v>389</v>
      </c>
      <c r="L14" t="s">
        <v>19</v>
      </c>
      <c r="M14" t="s">
        <v>19</v>
      </c>
      <c r="N14">
        <v>6.3888888888888884E-2</v>
      </c>
      <c r="O14">
        <v>0.3</v>
      </c>
      <c r="P14">
        <v>7.38</v>
      </c>
      <c r="Q14" t="s">
        <v>27</v>
      </c>
      <c r="R14" t="s">
        <v>22</v>
      </c>
      <c r="S14" t="s">
        <v>36</v>
      </c>
    </row>
    <row r="15" spans="2:19" x14ac:dyDescent="0.35">
      <c r="B15">
        <v>10</v>
      </c>
      <c r="C15">
        <v>46276</v>
      </c>
      <c r="D15">
        <v>0.63541666666666663</v>
      </c>
      <c r="E15">
        <v>0.85</v>
      </c>
      <c r="F15" t="s">
        <v>18</v>
      </c>
      <c r="G15">
        <v>14.45</v>
      </c>
      <c r="H15">
        <v>2.06</v>
      </c>
      <c r="I15">
        <v>783</v>
      </c>
      <c r="J15">
        <v>3.55</v>
      </c>
      <c r="K15">
        <v>607</v>
      </c>
      <c r="L15" t="s">
        <v>19</v>
      </c>
      <c r="M15" t="s">
        <v>19</v>
      </c>
      <c r="N15">
        <v>6.3888888888888884E-2</v>
      </c>
      <c r="O15">
        <v>0.29899999999999999</v>
      </c>
      <c r="P15">
        <v>7.29</v>
      </c>
      <c r="Q15" t="s">
        <v>26</v>
      </c>
      <c r="R15" t="s">
        <v>22</v>
      </c>
      <c r="S15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94716-7C0F-4AEF-A260-FA1214F1B6AB}">
  <dimension ref="B1:AB31"/>
  <sheetViews>
    <sheetView tabSelected="1" zoomScale="70" workbookViewId="0">
      <selection activeCell="D6" sqref="D6"/>
    </sheetView>
  </sheetViews>
  <sheetFormatPr baseColWidth="10" defaultRowHeight="14.5" x14ac:dyDescent="0.35"/>
  <cols>
    <col min="5" max="5" width="20.81640625" customWidth="1"/>
    <col min="6" max="6" width="13" customWidth="1"/>
    <col min="7" max="26" width="11.453125" customWidth="1"/>
  </cols>
  <sheetData>
    <row r="1" spans="2:28" ht="60" customHeight="1" x14ac:dyDescent="0.35">
      <c r="B1" s="37" t="s">
        <v>110</v>
      </c>
    </row>
    <row r="3" spans="2:28" x14ac:dyDescent="0.35">
      <c r="B3" s="36" t="s">
        <v>106</v>
      </c>
    </row>
    <row r="4" spans="2:28" x14ac:dyDescent="0.35">
      <c r="B4" s="36" t="s">
        <v>107</v>
      </c>
    </row>
    <row r="5" spans="2:28" x14ac:dyDescent="0.35">
      <c r="B5" s="36" t="s">
        <v>108</v>
      </c>
    </row>
    <row r="6" spans="2:28" x14ac:dyDescent="0.35">
      <c r="B6" s="38" t="s">
        <v>109</v>
      </c>
    </row>
    <row r="7" spans="2:28" ht="15" thickBot="1" x14ac:dyDescent="0.4"/>
    <row r="8" spans="2:28" ht="35" customHeight="1" thickBot="1" x14ac:dyDescent="0.4">
      <c r="B8" s="41" t="s">
        <v>99</v>
      </c>
      <c r="C8" s="51" t="s">
        <v>98</v>
      </c>
      <c r="D8" s="52"/>
      <c r="E8" s="27" t="s">
        <v>1</v>
      </c>
      <c r="F8" s="27" t="s">
        <v>67</v>
      </c>
      <c r="G8" s="28" t="s">
        <v>70</v>
      </c>
      <c r="H8" s="28" t="s">
        <v>71</v>
      </c>
      <c r="I8" s="28" t="s">
        <v>72</v>
      </c>
      <c r="J8" s="28" t="s">
        <v>73</v>
      </c>
      <c r="K8" s="55" t="s">
        <v>39</v>
      </c>
      <c r="L8" s="46"/>
      <c r="M8" s="47"/>
      <c r="N8" s="55" t="s">
        <v>65</v>
      </c>
      <c r="O8" s="46"/>
      <c r="P8" s="46"/>
      <c r="Q8" s="46"/>
      <c r="R8" s="47"/>
      <c r="S8" s="46" t="s">
        <v>66</v>
      </c>
      <c r="T8" s="46"/>
      <c r="U8" s="46"/>
      <c r="V8" s="46"/>
      <c r="W8" s="46"/>
      <c r="X8" s="46"/>
      <c r="Y8" s="47"/>
      <c r="Z8" s="46" t="s">
        <v>74</v>
      </c>
      <c r="AA8" s="46"/>
      <c r="AB8" s="47"/>
    </row>
    <row r="9" spans="2:28" x14ac:dyDescent="0.35">
      <c r="B9" s="42"/>
      <c r="C9" s="50"/>
      <c r="D9" s="49"/>
      <c r="E9" s="13" t="s">
        <v>69</v>
      </c>
      <c r="F9" s="13" t="s">
        <v>68</v>
      </c>
      <c r="G9" s="20" t="s">
        <v>68</v>
      </c>
      <c r="H9" s="20" t="s">
        <v>68</v>
      </c>
      <c r="I9" s="20" t="s">
        <v>68</v>
      </c>
      <c r="J9" s="20" t="s">
        <v>68</v>
      </c>
      <c r="K9" s="50" t="s">
        <v>40</v>
      </c>
      <c r="L9" s="48"/>
      <c r="M9" s="2" t="s">
        <v>100</v>
      </c>
      <c r="N9" s="50" t="s">
        <v>40</v>
      </c>
      <c r="O9" s="48"/>
      <c r="P9" s="1" t="s">
        <v>100</v>
      </c>
      <c r="Q9" s="1" t="s">
        <v>103</v>
      </c>
      <c r="R9" s="2" t="s">
        <v>100</v>
      </c>
      <c r="S9" s="48" t="s">
        <v>96</v>
      </c>
      <c r="T9" s="48"/>
      <c r="U9" s="1" t="s">
        <v>100</v>
      </c>
      <c r="V9" s="1" t="s">
        <v>96</v>
      </c>
      <c r="W9" s="1" t="s">
        <v>100</v>
      </c>
      <c r="X9" s="1" t="s">
        <v>96</v>
      </c>
      <c r="Y9" s="2" t="s">
        <v>100</v>
      </c>
      <c r="Z9" s="48" t="s">
        <v>97</v>
      </c>
      <c r="AA9" s="48"/>
      <c r="AB9" s="49"/>
    </row>
    <row r="10" spans="2:28" ht="15" thickBot="1" x14ac:dyDescent="0.4">
      <c r="B10" s="43"/>
      <c r="C10" s="53"/>
      <c r="D10" s="54"/>
      <c r="E10" s="14" t="s">
        <v>41</v>
      </c>
      <c r="F10" s="14" t="s">
        <v>41</v>
      </c>
      <c r="G10" s="14" t="s">
        <v>41</v>
      </c>
      <c r="H10" s="14" t="s">
        <v>41</v>
      </c>
      <c r="I10" s="14" t="s">
        <v>41</v>
      </c>
      <c r="J10" s="14" t="s">
        <v>41</v>
      </c>
      <c r="K10" s="29" t="s">
        <v>41</v>
      </c>
      <c r="L10" s="33" t="s">
        <v>42</v>
      </c>
      <c r="M10" s="4" t="s">
        <v>101</v>
      </c>
      <c r="N10" s="29" t="s">
        <v>41</v>
      </c>
      <c r="O10" s="3" t="s">
        <v>93</v>
      </c>
      <c r="P10" s="3" t="s">
        <v>102</v>
      </c>
      <c r="Q10" s="3" t="s">
        <v>94</v>
      </c>
      <c r="R10" s="4" t="s">
        <v>104</v>
      </c>
      <c r="S10" s="3" t="s">
        <v>41</v>
      </c>
      <c r="T10" s="3" t="s">
        <v>93</v>
      </c>
      <c r="U10" s="3" t="s">
        <v>102</v>
      </c>
      <c r="V10" s="3" t="s">
        <v>94</v>
      </c>
      <c r="W10" s="3" t="s">
        <v>104</v>
      </c>
      <c r="X10" s="3" t="s">
        <v>95</v>
      </c>
      <c r="Y10" s="4" t="s">
        <v>105</v>
      </c>
      <c r="Z10" s="3" t="s">
        <v>93</v>
      </c>
      <c r="AA10" s="3" t="s">
        <v>94</v>
      </c>
      <c r="AB10" s="4" t="s">
        <v>95</v>
      </c>
    </row>
    <row r="11" spans="2:28" x14ac:dyDescent="0.35">
      <c r="B11" s="13">
        <v>1</v>
      </c>
      <c r="C11" s="39" t="s">
        <v>92</v>
      </c>
      <c r="D11" s="40"/>
      <c r="E11" s="16">
        <v>46266</v>
      </c>
      <c r="F11" s="18">
        <v>0.77430555555555558</v>
      </c>
      <c r="G11" s="18">
        <v>0</v>
      </c>
      <c r="H11" s="18">
        <v>0</v>
      </c>
      <c r="I11" s="21">
        <f>CONVERT(G11,"day","hr")</f>
        <v>0</v>
      </c>
      <c r="J11" s="23">
        <f>CONVERT(H11,"day","hr")</f>
        <v>0</v>
      </c>
      <c r="K11" s="30">
        <v>4.96</v>
      </c>
      <c r="L11" s="34">
        <v>4.96</v>
      </c>
      <c r="M11" s="25">
        <f t="shared" ref="M11:M31" si="0">(ABS(L11)-K11)/K11</f>
        <v>0</v>
      </c>
      <c r="N11" s="30">
        <v>2.9000000000000001E-2</v>
      </c>
      <c r="O11" s="34">
        <f>(-0.41)+(0.652*(4.3-L11))</f>
        <v>-0.84032000000000007</v>
      </c>
      <c r="P11" s="5">
        <f t="shared" ref="P11:P31" si="1">(ABS(O11)-N11)/N11</f>
        <v>27.976551724137931</v>
      </c>
      <c r="Q11" s="34">
        <f>(-0.8365*L11)+2.894</f>
        <v>-1.2550400000000002</v>
      </c>
      <c r="R11" s="25">
        <f>(ABS(Q11)-N11)/N11</f>
        <v>42.277241379310354</v>
      </c>
      <c r="S11" s="7">
        <v>5.59</v>
      </c>
      <c r="T11" s="34">
        <f t="shared" ref="T11:T31" si="2">(8.84-Z11)/0.58</f>
        <v>9.5263510406744931</v>
      </c>
      <c r="U11" s="5">
        <f t="shared" ref="U11:U31" si="3">(ABS(T11)-S11)/S11</f>
        <v>0.70417728813497193</v>
      </c>
      <c r="V11" s="34">
        <f>(8.84-AA11)/0.58</f>
        <v>4.2637931034482763</v>
      </c>
      <c r="W11" s="5">
        <f>(ABS(V11)-S11)/S11</f>
        <v>-0.23724631423107756</v>
      </c>
      <c r="X11" s="34">
        <f t="shared" ref="X11:X31" si="4">(8.84-AB11)/0.58</f>
        <v>2.9674081306984359</v>
      </c>
      <c r="Y11" s="25">
        <f>(ABS(X11)-S11)/S11</f>
        <v>-0.46915775837237284</v>
      </c>
      <c r="Z11" s="7">
        <f t="shared" ref="Z11:Z31" si="5">(7.73)/((1)+(EXP((-0.061*(J11-4.7)))))</f>
        <v>3.3147163964087949</v>
      </c>
      <c r="AA11" s="6">
        <f t="shared" ref="AA11:AA31" si="6">6.367+(0.00144*J11)</f>
        <v>6.367</v>
      </c>
      <c r="AB11" s="8">
        <f t="shared" ref="AB11:AB31" si="7">LOG10((-20442.9416136509*J11)+13149319.6900597)</f>
        <v>7.1189032841949071</v>
      </c>
    </row>
    <row r="12" spans="2:28" x14ac:dyDescent="0.35">
      <c r="B12" s="13">
        <v>2</v>
      </c>
      <c r="C12" s="39" t="s">
        <v>92</v>
      </c>
      <c r="D12" s="40"/>
      <c r="E12" s="16">
        <v>46267</v>
      </c>
      <c r="F12" s="18">
        <v>0.70833333333333337</v>
      </c>
      <c r="G12" s="18">
        <f>F12+1-F11</f>
        <v>0.9340277777777779</v>
      </c>
      <c r="H12" s="18">
        <f t="shared" ref="H12:H31" si="8">H11+G12</f>
        <v>0.9340277777777779</v>
      </c>
      <c r="I12" s="21">
        <f t="shared" ref="I12:J31" si="9">CONVERT(G12,"day","hr")</f>
        <v>22.416666666666671</v>
      </c>
      <c r="J12" s="23">
        <f t="shared" si="9"/>
        <v>22.416666666666671</v>
      </c>
      <c r="K12" s="30">
        <v>4.8899999999999997</v>
      </c>
      <c r="L12" s="34">
        <v>4.8899999999999997</v>
      </c>
      <c r="M12" s="25">
        <f t="shared" si="0"/>
        <v>0</v>
      </c>
      <c r="N12" s="30">
        <v>0.2</v>
      </c>
      <c r="O12" s="34">
        <f t="shared" ref="O12:O31" si="10">(-0.41)+(0.652*(4.3-L12))</f>
        <v>-0.79467999999999983</v>
      </c>
      <c r="P12" s="5">
        <f t="shared" si="1"/>
        <v>2.9733999999999994</v>
      </c>
      <c r="Q12" s="34">
        <f t="shared" ref="Q12:Q31" si="11">(-0.8365*L12)+2.894</f>
        <v>-1.196485</v>
      </c>
      <c r="R12" s="25">
        <f t="shared" ref="R12:R31" si="12">(ABS(Q12)-N12)/N12</f>
        <v>4.9824250000000001</v>
      </c>
      <c r="S12" s="7">
        <v>4.8899999999999997</v>
      </c>
      <c r="T12" s="34">
        <f t="shared" si="2"/>
        <v>5.290609193072199</v>
      </c>
      <c r="U12" s="5">
        <f t="shared" si="3"/>
        <v>8.1924170362412951E-2</v>
      </c>
      <c r="V12" s="34">
        <f t="shared" ref="V12:V31" si="13">(8.84-AA12)/0.58</f>
        <v>4.2081379310344831</v>
      </c>
      <c r="W12" s="5">
        <f t="shared" ref="W12:W31" si="14">(ABS(V12)-S12)/S12</f>
        <v>-0.13944009590296863</v>
      </c>
      <c r="X12" s="34">
        <f t="shared" si="4"/>
        <v>2.9939693146603221</v>
      </c>
      <c r="Y12" s="25">
        <f t="shared" ref="Y12:Y31" si="15">(ABS(X12)-S12)/S12</f>
        <v>-0.38773633647028172</v>
      </c>
      <c r="Z12" s="7">
        <f t="shared" si="5"/>
        <v>5.7714466680181244</v>
      </c>
      <c r="AA12" s="6">
        <f t="shared" si="6"/>
        <v>6.3992800000000001</v>
      </c>
      <c r="AB12" s="8">
        <f t="shared" si="7"/>
        <v>7.1034977974970133</v>
      </c>
    </row>
    <row r="13" spans="2:28" x14ac:dyDescent="0.35">
      <c r="B13" s="13">
        <v>3</v>
      </c>
      <c r="C13" s="39" t="s">
        <v>92</v>
      </c>
      <c r="D13" s="40"/>
      <c r="E13" s="16">
        <v>46268</v>
      </c>
      <c r="F13" s="18">
        <v>0.70833333333333337</v>
      </c>
      <c r="G13" s="18">
        <f t="shared" ref="G13:G31" si="16">F13+1-F12</f>
        <v>1</v>
      </c>
      <c r="H13" s="18">
        <f t="shared" si="8"/>
        <v>1.9340277777777779</v>
      </c>
      <c r="I13" s="21">
        <f t="shared" si="9"/>
        <v>24</v>
      </c>
      <c r="J13" s="23">
        <f t="shared" si="9"/>
        <v>46.416666666666664</v>
      </c>
      <c r="K13" s="30">
        <v>4.2699999999999996</v>
      </c>
      <c r="L13" s="34">
        <v>4.2699999999999996</v>
      </c>
      <c r="M13" s="25">
        <f t="shared" si="0"/>
        <v>0</v>
      </c>
      <c r="N13" s="30">
        <v>0.42</v>
      </c>
      <c r="O13" s="34">
        <f t="shared" si="10"/>
        <v>-0.39043999999999979</v>
      </c>
      <c r="P13" s="5">
        <f t="shared" si="1"/>
        <v>-7.0380952380952849E-2</v>
      </c>
      <c r="Q13" s="34">
        <f t="shared" si="11"/>
        <v>-0.67785499999999965</v>
      </c>
      <c r="R13" s="25">
        <f t="shared" si="12"/>
        <v>0.61394047619047543</v>
      </c>
      <c r="S13" s="7">
        <v>4.13</v>
      </c>
      <c r="T13" s="34">
        <f t="shared" si="2"/>
        <v>2.8838045106910344</v>
      </c>
      <c r="U13" s="5">
        <f t="shared" si="3"/>
        <v>-0.30174224922735243</v>
      </c>
      <c r="V13" s="34">
        <f t="shared" si="13"/>
        <v>4.1485517241379313</v>
      </c>
      <c r="W13" s="5">
        <f t="shared" si="14"/>
        <v>4.4919428905402861E-3</v>
      </c>
      <c r="X13" s="34">
        <f t="shared" si="4"/>
        <v>3.0234913580522744</v>
      </c>
      <c r="Y13" s="25">
        <f t="shared" si="15"/>
        <v>-0.26791976802608364</v>
      </c>
      <c r="Z13" s="7">
        <f t="shared" si="5"/>
        <v>7.1673933837992001</v>
      </c>
      <c r="AA13" s="6">
        <f t="shared" si="6"/>
        <v>6.43384</v>
      </c>
      <c r="AB13" s="8">
        <f t="shared" si="7"/>
        <v>7.0863750123296807</v>
      </c>
    </row>
    <row r="14" spans="2:28" x14ac:dyDescent="0.35">
      <c r="B14" s="13">
        <v>4</v>
      </c>
      <c r="C14" s="39" t="s">
        <v>92</v>
      </c>
      <c r="D14" s="40"/>
      <c r="E14" s="16">
        <v>46269</v>
      </c>
      <c r="F14" s="18">
        <v>0.39583333333333331</v>
      </c>
      <c r="G14" s="18">
        <f t="shared" si="16"/>
        <v>0.68749999999999989</v>
      </c>
      <c r="H14" s="18">
        <f t="shared" si="8"/>
        <v>2.6215277777777777</v>
      </c>
      <c r="I14" s="21">
        <f t="shared" si="9"/>
        <v>16.499999999999996</v>
      </c>
      <c r="J14" s="23">
        <f t="shared" si="9"/>
        <v>62.916666666666664</v>
      </c>
      <c r="K14" s="30">
        <v>3.96</v>
      </c>
      <c r="L14" s="34">
        <v>3.96</v>
      </c>
      <c r="M14" s="25">
        <f t="shared" si="0"/>
        <v>0</v>
      </c>
      <c r="N14" s="30">
        <v>0.65</v>
      </c>
      <c r="O14" s="34">
        <f t="shared" si="10"/>
        <v>-0.18832000000000007</v>
      </c>
      <c r="P14" s="5">
        <f t="shared" si="1"/>
        <v>-0.71027692307692303</v>
      </c>
      <c r="Q14" s="34">
        <f t="shared" si="11"/>
        <v>-0.41854000000000013</v>
      </c>
      <c r="R14" s="25">
        <f t="shared" si="12"/>
        <v>-0.35609230769230749</v>
      </c>
      <c r="S14" s="7">
        <v>3.64</v>
      </c>
      <c r="T14" s="34">
        <f t="shared" si="2"/>
        <v>2.2854937369530473</v>
      </c>
      <c r="U14" s="5">
        <f t="shared" si="3"/>
        <v>-0.37211710523267932</v>
      </c>
      <c r="V14" s="34">
        <f t="shared" si="13"/>
        <v>4.107586206896551</v>
      </c>
      <c r="W14" s="5">
        <f t="shared" si="14"/>
        <v>0.12845774914740407</v>
      </c>
      <c r="X14" s="34">
        <f t="shared" si="4"/>
        <v>3.0444847442823026</v>
      </c>
      <c r="Y14" s="25">
        <f t="shared" si="15"/>
        <v>-0.16360309223013667</v>
      </c>
      <c r="Z14" s="7">
        <f t="shared" si="5"/>
        <v>7.5144136325672326</v>
      </c>
      <c r="AA14" s="6">
        <f t="shared" si="6"/>
        <v>6.4576000000000002</v>
      </c>
      <c r="AB14" s="8">
        <f t="shared" si="7"/>
        <v>7.0741988483162643</v>
      </c>
    </row>
    <row r="15" spans="2:28" x14ac:dyDescent="0.35">
      <c r="B15" s="13">
        <v>5</v>
      </c>
      <c r="C15" s="39" t="s">
        <v>75</v>
      </c>
      <c r="D15" s="40"/>
      <c r="E15" s="16">
        <v>46269</v>
      </c>
      <c r="F15" s="18">
        <v>0.66666666666666663</v>
      </c>
      <c r="G15" s="18">
        <f>F15-F14</f>
        <v>0.27083333333333331</v>
      </c>
      <c r="H15" s="18">
        <f t="shared" si="8"/>
        <v>2.8923611111111112</v>
      </c>
      <c r="I15" s="21">
        <f t="shared" si="9"/>
        <v>6.5</v>
      </c>
      <c r="J15" s="23">
        <f t="shared" si="9"/>
        <v>69.416666666666671</v>
      </c>
      <c r="K15" s="30">
        <v>3.52</v>
      </c>
      <c r="L15" s="34">
        <v>3.52</v>
      </c>
      <c r="M15" s="25">
        <f t="shared" si="0"/>
        <v>0</v>
      </c>
      <c r="N15" s="30">
        <v>0.71099999999999997</v>
      </c>
      <c r="O15" s="34">
        <f t="shared" si="10"/>
        <v>9.8559999999999925E-2</v>
      </c>
      <c r="P15" s="5">
        <f t="shared" si="1"/>
        <v>-0.86137834036568228</v>
      </c>
      <c r="Q15" s="34">
        <f t="shared" si="11"/>
        <v>-5.0479999999999858E-2</v>
      </c>
      <c r="R15" s="25">
        <f t="shared" si="12"/>
        <v>-0.92900140646976115</v>
      </c>
      <c r="S15" s="7">
        <v>3.34</v>
      </c>
      <c r="T15" s="34">
        <f t="shared" si="2"/>
        <v>2.1661286641861368</v>
      </c>
      <c r="U15" s="5">
        <f t="shared" si="3"/>
        <v>-0.35145848377660571</v>
      </c>
      <c r="V15" s="34">
        <f t="shared" si="13"/>
        <v>4.0914482758620689</v>
      </c>
      <c r="W15" s="5">
        <f t="shared" si="14"/>
        <v>0.22498451373115841</v>
      </c>
      <c r="X15" s="34">
        <f t="shared" si="4"/>
        <v>3.0529192165626444</v>
      </c>
      <c r="Y15" s="25">
        <f t="shared" si="15"/>
        <v>-8.5952330370465707E-2</v>
      </c>
      <c r="Z15" s="7">
        <f t="shared" si="5"/>
        <v>7.5836453747720407</v>
      </c>
      <c r="AA15" s="6">
        <f t="shared" si="6"/>
        <v>6.4669600000000003</v>
      </c>
      <c r="AB15" s="8">
        <f t="shared" si="7"/>
        <v>7.0693068543936661</v>
      </c>
    </row>
    <row r="16" spans="2:28" x14ac:dyDescent="0.35">
      <c r="B16" s="13">
        <v>6</v>
      </c>
      <c r="C16" s="39" t="s">
        <v>76</v>
      </c>
      <c r="D16" s="40"/>
      <c r="E16" s="16">
        <v>46270</v>
      </c>
      <c r="F16" s="18">
        <v>0.58333333333333337</v>
      </c>
      <c r="G16" s="18">
        <f t="shared" si="16"/>
        <v>0.91666666666666685</v>
      </c>
      <c r="H16" s="18">
        <f t="shared" si="8"/>
        <v>3.8090277777777781</v>
      </c>
      <c r="I16" s="21">
        <f t="shared" si="9"/>
        <v>22.000000000000004</v>
      </c>
      <c r="J16" s="23">
        <f t="shared" si="9"/>
        <v>91.416666666666686</v>
      </c>
      <c r="K16" s="30">
        <v>3.33</v>
      </c>
      <c r="L16" s="34">
        <v>3.33</v>
      </c>
      <c r="M16" s="25">
        <f t="shared" si="0"/>
        <v>0</v>
      </c>
      <c r="N16" s="30">
        <v>0.42899999999999999</v>
      </c>
      <c r="O16" s="34">
        <f t="shared" si="10"/>
        <v>0.22243999999999992</v>
      </c>
      <c r="P16" s="5">
        <f t="shared" si="1"/>
        <v>-0.48149184149184165</v>
      </c>
      <c r="Q16" s="34">
        <f t="shared" si="11"/>
        <v>0.10845500000000019</v>
      </c>
      <c r="R16" s="25">
        <f t="shared" si="12"/>
        <v>-0.74719114219114169</v>
      </c>
      <c r="S16" s="7">
        <v>3.94</v>
      </c>
      <c r="T16" s="34">
        <f t="shared" si="2"/>
        <v>1.9806693694349204</v>
      </c>
      <c r="U16" s="5">
        <f t="shared" si="3"/>
        <v>-0.4972920382144872</v>
      </c>
      <c r="V16" s="34">
        <f t="shared" si="13"/>
        <v>4.036827586206897</v>
      </c>
      <c r="W16" s="5">
        <f t="shared" si="14"/>
        <v>2.45755294941363E-2</v>
      </c>
      <c r="X16" s="34">
        <f t="shared" si="4"/>
        <v>3.0821928911485164</v>
      </c>
      <c r="Y16" s="25">
        <f t="shared" si="15"/>
        <v>-0.21771754031763543</v>
      </c>
      <c r="Z16" s="6">
        <f t="shared" si="5"/>
        <v>7.6912117657277461</v>
      </c>
      <c r="AA16" s="7">
        <f t="shared" si="6"/>
        <v>6.49864</v>
      </c>
      <c r="AB16" s="8">
        <f t="shared" si="7"/>
        <v>7.0523281231338606</v>
      </c>
    </row>
    <row r="17" spans="2:28" x14ac:dyDescent="0.35">
      <c r="B17" s="13">
        <v>7</v>
      </c>
      <c r="C17" s="39" t="s">
        <v>77</v>
      </c>
      <c r="D17" s="40"/>
      <c r="E17" s="16">
        <v>46272</v>
      </c>
      <c r="F17" s="18">
        <v>0.44444444444444442</v>
      </c>
      <c r="G17" s="18">
        <f>F17+2-F16</f>
        <v>1.8611111111111112</v>
      </c>
      <c r="H17" s="18">
        <f t="shared" si="8"/>
        <v>5.6701388888888893</v>
      </c>
      <c r="I17" s="21">
        <f t="shared" si="9"/>
        <v>44.666666666666664</v>
      </c>
      <c r="J17" s="23">
        <f t="shared" si="9"/>
        <v>136.08333333333334</v>
      </c>
      <c r="K17" s="30">
        <v>2.39</v>
      </c>
      <c r="L17" s="34">
        <v>2.39</v>
      </c>
      <c r="M17" s="25">
        <f t="shared" si="0"/>
        <v>0</v>
      </c>
      <c r="N17" s="30">
        <v>0.88300000000000001</v>
      </c>
      <c r="O17" s="34">
        <f t="shared" si="10"/>
        <v>0.83531999999999984</v>
      </c>
      <c r="P17" s="5">
        <f t="shared" si="1"/>
        <v>-5.3997734994337673E-2</v>
      </c>
      <c r="Q17" s="34">
        <f t="shared" si="11"/>
        <v>0.89476500000000003</v>
      </c>
      <c r="R17" s="25">
        <f t="shared" si="12"/>
        <v>1.3323895809739554E-2</v>
      </c>
      <c r="S17" s="7">
        <v>2.8</v>
      </c>
      <c r="T17" s="34">
        <f t="shared" si="2"/>
        <v>1.9181987074454427</v>
      </c>
      <c r="U17" s="5">
        <f t="shared" si="3"/>
        <v>-0.31492903305519898</v>
      </c>
      <c r="V17" s="34">
        <f t="shared" si="13"/>
        <v>3.9259310344827583</v>
      </c>
      <c r="W17" s="5">
        <f t="shared" si="14"/>
        <v>0.40211822660098517</v>
      </c>
      <c r="X17" s="34">
        <f t="shared" si="4"/>
        <v>3.1453985313274453</v>
      </c>
      <c r="Y17" s="25">
        <f t="shared" si="15"/>
        <v>0.12335661833123053</v>
      </c>
      <c r="Z17" s="6">
        <f t="shared" si="5"/>
        <v>7.7274447496816432</v>
      </c>
      <c r="AA17" s="6">
        <f t="shared" si="6"/>
        <v>6.5629600000000003</v>
      </c>
      <c r="AB17" s="9">
        <f t="shared" si="7"/>
        <v>7.0156688518300818</v>
      </c>
    </row>
    <row r="18" spans="2:28" x14ac:dyDescent="0.35">
      <c r="B18" s="13">
        <v>8</v>
      </c>
      <c r="C18" s="39" t="s">
        <v>78</v>
      </c>
      <c r="D18" s="40"/>
      <c r="E18" s="16">
        <v>46273</v>
      </c>
      <c r="F18" s="18">
        <v>0.60416666666666663</v>
      </c>
      <c r="G18" s="18">
        <f t="shared" si="16"/>
        <v>1.1597222222222221</v>
      </c>
      <c r="H18" s="18">
        <f t="shared" si="8"/>
        <v>6.8298611111111116</v>
      </c>
      <c r="I18" s="21">
        <f t="shared" si="9"/>
        <v>27.833333333333329</v>
      </c>
      <c r="J18" s="23">
        <f t="shared" si="9"/>
        <v>163.91666666666666</v>
      </c>
      <c r="K18" s="30">
        <v>2.95</v>
      </c>
      <c r="L18" s="34">
        <v>2.95</v>
      </c>
      <c r="M18" s="25">
        <f t="shared" si="0"/>
        <v>0</v>
      </c>
      <c r="N18" s="30">
        <v>0.42399999999999999</v>
      </c>
      <c r="O18" s="34">
        <f t="shared" si="10"/>
        <v>0.47019999999999978</v>
      </c>
      <c r="P18" s="5">
        <f t="shared" si="1"/>
        <v>0.10896226415094291</v>
      </c>
      <c r="Q18" s="34">
        <f t="shared" si="11"/>
        <v>0.42632499999999984</v>
      </c>
      <c r="R18" s="25">
        <f t="shared" si="12"/>
        <v>5.4834905660373938E-3</v>
      </c>
      <c r="S18" s="7">
        <v>3.38</v>
      </c>
      <c r="T18" s="34">
        <f t="shared" si="2"/>
        <v>1.9145998982732519</v>
      </c>
      <c r="U18" s="5">
        <f t="shared" si="3"/>
        <v>-0.43355032595465914</v>
      </c>
      <c r="V18" s="34">
        <f t="shared" si="13"/>
        <v>3.8568275862068964</v>
      </c>
      <c r="W18" s="5">
        <f t="shared" si="14"/>
        <v>0.14107325035706997</v>
      </c>
      <c r="X18" s="34">
        <f t="shared" si="4"/>
        <v>3.1876649730603406</v>
      </c>
      <c r="Y18" s="25">
        <f t="shared" si="15"/>
        <v>-5.6903854124159561E-2</v>
      </c>
      <c r="Z18" s="6">
        <f t="shared" si="5"/>
        <v>7.7295320590015137</v>
      </c>
      <c r="AA18" s="7">
        <f t="shared" si="6"/>
        <v>6.60304</v>
      </c>
      <c r="AB18" s="8">
        <f t="shared" si="7"/>
        <v>6.9911543156250024</v>
      </c>
    </row>
    <row r="19" spans="2:28" x14ac:dyDescent="0.35">
      <c r="B19" s="13">
        <v>9</v>
      </c>
      <c r="C19" s="39" t="s">
        <v>79</v>
      </c>
      <c r="D19" s="40"/>
      <c r="E19" s="16">
        <v>46274</v>
      </c>
      <c r="F19" s="18">
        <v>0.58333333333333337</v>
      </c>
      <c r="G19" s="18">
        <f t="shared" si="16"/>
        <v>0.97916666666666685</v>
      </c>
      <c r="H19" s="18">
        <f t="shared" si="8"/>
        <v>7.8090277777777786</v>
      </c>
      <c r="I19" s="21">
        <f t="shared" si="9"/>
        <v>23.500000000000004</v>
      </c>
      <c r="J19" s="23">
        <f t="shared" si="9"/>
        <v>187.41666666666669</v>
      </c>
      <c r="K19" s="30">
        <v>2.71</v>
      </c>
      <c r="L19" s="34">
        <v>2.71</v>
      </c>
      <c r="M19" s="25">
        <f t="shared" si="0"/>
        <v>0</v>
      </c>
      <c r="N19" s="30">
        <v>0.69499999999999995</v>
      </c>
      <c r="O19" s="34">
        <f t="shared" si="10"/>
        <v>0.62668000000000013</v>
      </c>
      <c r="P19" s="5">
        <f t="shared" si="1"/>
        <v>-9.8302158273381054E-2</v>
      </c>
      <c r="Q19" s="34">
        <f t="shared" si="11"/>
        <v>0.62708500000000011</v>
      </c>
      <c r="R19" s="25">
        <f t="shared" si="12"/>
        <v>-9.7719424460431428E-2</v>
      </c>
      <c r="S19" s="7">
        <v>2.89</v>
      </c>
      <c r="T19" s="34">
        <f t="shared" si="2"/>
        <v>1.9139855109432125</v>
      </c>
      <c r="U19" s="5">
        <f t="shared" si="3"/>
        <v>-0.33772127649023792</v>
      </c>
      <c r="V19" s="34">
        <f t="shared" si="13"/>
        <v>3.7984827586206902</v>
      </c>
      <c r="W19" s="5">
        <f t="shared" si="14"/>
        <v>0.31435389571650174</v>
      </c>
      <c r="X19" s="34">
        <f t="shared" si="4"/>
        <v>3.2253079519920997</v>
      </c>
      <c r="Y19" s="25">
        <f t="shared" si="15"/>
        <v>0.11602351280003446</v>
      </c>
      <c r="Z19" s="6">
        <f t="shared" si="5"/>
        <v>7.7298884036529367</v>
      </c>
      <c r="AA19" s="6">
        <f t="shared" si="6"/>
        <v>6.6368799999999997</v>
      </c>
      <c r="AB19" s="9">
        <f t="shared" si="7"/>
        <v>6.9693213878445821</v>
      </c>
    </row>
    <row r="20" spans="2:28" x14ac:dyDescent="0.35">
      <c r="B20" s="13">
        <v>10</v>
      </c>
      <c r="C20" s="39" t="s">
        <v>80</v>
      </c>
      <c r="D20" s="40"/>
      <c r="E20" s="16">
        <v>46275</v>
      </c>
      <c r="F20" s="18">
        <v>0.61458333333333337</v>
      </c>
      <c r="G20" s="18">
        <f t="shared" si="16"/>
        <v>1.03125</v>
      </c>
      <c r="H20" s="18">
        <f t="shared" si="8"/>
        <v>8.8402777777777786</v>
      </c>
      <c r="I20" s="21">
        <f t="shared" si="9"/>
        <v>24.75</v>
      </c>
      <c r="J20" s="23">
        <f t="shared" si="9"/>
        <v>212.16666666666669</v>
      </c>
      <c r="K20" s="30">
        <v>3.49</v>
      </c>
      <c r="L20" s="34">
        <v>3.49</v>
      </c>
      <c r="M20" s="25">
        <f t="shared" si="0"/>
        <v>0</v>
      </c>
      <c r="N20" s="30">
        <v>0.58299999999999996</v>
      </c>
      <c r="O20" s="34">
        <f t="shared" si="10"/>
        <v>0.11811999999999984</v>
      </c>
      <c r="P20" s="5">
        <f t="shared" si="1"/>
        <v>-0.7973927958833622</v>
      </c>
      <c r="Q20" s="34">
        <f t="shared" si="11"/>
        <v>-2.5384999999999991E-2</v>
      </c>
      <c r="R20" s="25">
        <f t="shared" si="12"/>
        <v>-0.95645797598627791</v>
      </c>
      <c r="S20" s="7">
        <v>3.26</v>
      </c>
      <c r="T20" s="34">
        <f t="shared" si="2"/>
        <v>1.9138356192894184</v>
      </c>
      <c r="U20" s="5">
        <f t="shared" si="3"/>
        <v>-0.41293385911367531</v>
      </c>
      <c r="V20" s="34">
        <f t="shared" si="13"/>
        <v>3.7370344827586197</v>
      </c>
      <c r="W20" s="5">
        <f t="shared" si="14"/>
        <v>0.14632959593822698</v>
      </c>
      <c r="X20" s="34">
        <f t="shared" si="4"/>
        <v>3.2671121937006329</v>
      </c>
      <c r="Y20" s="25">
        <f t="shared" si="15"/>
        <v>2.1816545093966554E-3</v>
      </c>
      <c r="Z20" s="6">
        <f t="shared" si="5"/>
        <v>7.7299753408121372</v>
      </c>
      <c r="AA20" s="7">
        <f t="shared" si="6"/>
        <v>6.6725200000000005</v>
      </c>
      <c r="AB20" s="8">
        <f t="shared" si="7"/>
        <v>6.945074927653633</v>
      </c>
    </row>
    <row r="21" spans="2:28" x14ac:dyDescent="0.35">
      <c r="B21" s="13">
        <v>11</v>
      </c>
      <c r="C21" s="39" t="s">
        <v>81</v>
      </c>
      <c r="D21" s="40"/>
      <c r="E21" s="16">
        <v>46276</v>
      </c>
      <c r="F21" s="18">
        <v>0.63541666666666663</v>
      </c>
      <c r="G21" s="18">
        <f t="shared" si="16"/>
        <v>1.020833333333333</v>
      </c>
      <c r="H21" s="18">
        <f t="shared" si="8"/>
        <v>9.8611111111111107</v>
      </c>
      <c r="I21" s="21">
        <f t="shared" si="9"/>
        <v>24.499999999999993</v>
      </c>
      <c r="J21" s="23">
        <f t="shared" si="9"/>
        <v>236.66666666666666</v>
      </c>
      <c r="K21" s="30">
        <v>2.06</v>
      </c>
      <c r="L21" s="34">
        <v>2.06</v>
      </c>
      <c r="M21" s="25">
        <f t="shared" si="0"/>
        <v>0</v>
      </c>
      <c r="N21" s="30">
        <v>0.78300000000000003</v>
      </c>
      <c r="O21" s="34">
        <f t="shared" si="10"/>
        <v>1.0504800000000001</v>
      </c>
      <c r="P21" s="5">
        <f t="shared" si="1"/>
        <v>0.34160919540229889</v>
      </c>
      <c r="Q21" s="34">
        <f t="shared" si="11"/>
        <v>1.1708100000000001</v>
      </c>
      <c r="R21" s="25">
        <f t="shared" si="12"/>
        <v>0.49528735632183918</v>
      </c>
      <c r="S21" s="7">
        <v>3.55</v>
      </c>
      <c r="T21" s="34">
        <f t="shared" si="2"/>
        <v>1.9138026423581838</v>
      </c>
      <c r="U21" s="5">
        <f t="shared" si="3"/>
        <v>-0.46090066412445524</v>
      </c>
      <c r="V21" s="34">
        <f t="shared" si="13"/>
        <v>3.6762068965517245</v>
      </c>
      <c r="W21" s="5">
        <f t="shared" si="14"/>
        <v>3.5551238465274561E-2</v>
      </c>
      <c r="X21" s="34">
        <f t="shared" si="4"/>
        <v>3.3109284861287245</v>
      </c>
      <c r="Y21" s="25">
        <f t="shared" si="15"/>
        <v>-6.7344088414443767E-2</v>
      </c>
      <c r="Z21" s="6">
        <f t="shared" si="5"/>
        <v>7.7299944674322534</v>
      </c>
      <c r="AA21" s="6">
        <f t="shared" si="6"/>
        <v>6.7077999999999998</v>
      </c>
      <c r="AB21" s="9">
        <f t="shared" si="7"/>
        <v>6.9196614780453398</v>
      </c>
    </row>
    <row r="22" spans="2:28" x14ac:dyDescent="0.35">
      <c r="B22" s="15">
        <v>12</v>
      </c>
      <c r="C22" s="39" t="s">
        <v>82</v>
      </c>
      <c r="D22" s="40"/>
      <c r="E22" s="16">
        <v>46277</v>
      </c>
      <c r="F22" s="18">
        <v>0.44791666666666669</v>
      </c>
      <c r="G22" s="18">
        <f t="shared" si="16"/>
        <v>0.81250000000000011</v>
      </c>
      <c r="H22" s="18">
        <f t="shared" si="8"/>
        <v>10.673611111111111</v>
      </c>
      <c r="I22" s="21">
        <f t="shared" si="9"/>
        <v>19.500000000000004</v>
      </c>
      <c r="J22" s="23">
        <f t="shared" si="9"/>
        <v>256.16666666666669</v>
      </c>
      <c r="K22" s="30">
        <v>2.88</v>
      </c>
      <c r="L22" s="34">
        <v>2.88</v>
      </c>
      <c r="M22" s="25">
        <f t="shared" si="0"/>
        <v>0</v>
      </c>
      <c r="N22" s="30">
        <v>0.69</v>
      </c>
      <c r="O22" s="34">
        <f t="shared" si="10"/>
        <v>0.51584000000000008</v>
      </c>
      <c r="P22" s="5">
        <f t="shared" si="1"/>
        <v>-0.25240579710144911</v>
      </c>
      <c r="Q22" s="34">
        <f t="shared" si="11"/>
        <v>0.48487999999999998</v>
      </c>
      <c r="R22" s="25">
        <f t="shared" si="12"/>
        <v>-0.29727536231884055</v>
      </c>
      <c r="S22" s="7">
        <v>2.39</v>
      </c>
      <c r="T22" s="34">
        <f t="shared" si="2"/>
        <v>1.9137960068402846</v>
      </c>
      <c r="U22" s="5">
        <f t="shared" si="3"/>
        <v>-0.19924853270280982</v>
      </c>
      <c r="V22" s="34">
        <f t="shared" si="13"/>
        <v>3.6277931034482762</v>
      </c>
      <c r="W22" s="5">
        <f t="shared" si="14"/>
        <v>0.5179050642042996</v>
      </c>
      <c r="X22" s="34">
        <f t="shared" si="4"/>
        <v>3.3477331168497129</v>
      </c>
      <c r="Y22" s="25">
        <f t="shared" si="15"/>
        <v>0.40072515349360366</v>
      </c>
      <c r="Z22" s="6">
        <f t="shared" si="5"/>
        <v>7.7299983160326349</v>
      </c>
      <c r="AA22" s="7">
        <f t="shared" si="6"/>
        <v>6.7358799999999999</v>
      </c>
      <c r="AB22" s="8">
        <f t="shared" si="7"/>
        <v>6.8983147922271666</v>
      </c>
    </row>
    <row r="23" spans="2:28" x14ac:dyDescent="0.35">
      <c r="B23" s="15">
        <v>13</v>
      </c>
      <c r="C23" s="39" t="s">
        <v>83</v>
      </c>
      <c r="D23" s="40"/>
      <c r="E23" s="16">
        <v>46279</v>
      </c>
      <c r="F23" s="18">
        <v>0.58680555555555558</v>
      </c>
      <c r="G23" s="18">
        <f>F23+2-F22</f>
        <v>2.1388888888888888</v>
      </c>
      <c r="H23" s="18">
        <f t="shared" si="8"/>
        <v>12.8125</v>
      </c>
      <c r="I23" s="21">
        <f t="shared" si="9"/>
        <v>51.333333333333336</v>
      </c>
      <c r="J23" s="23">
        <f t="shared" si="9"/>
        <v>307.5</v>
      </c>
      <c r="K23" s="30">
        <v>1.92</v>
      </c>
      <c r="L23" s="34">
        <v>1.92</v>
      </c>
      <c r="M23" s="25">
        <f t="shared" si="0"/>
        <v>0</v>
      </c>
      <c r="N23" s="30">
        <v>0.90500000000000003</v>
      </c>
      <c r="O23" s="34">
        <f t="shared" si="10"/>
        <v>1.1417600000000001</v>
      </c>
      <c r="P23" s="5">
        <f t="shared" si="1"/>
        <v>0.26161325966850835</v>
      </c>
      <c r="Q23" s="34">
        <f t="shared" si="11"/>
        <v>1.2879200000000002</v>
      </c>
      <c r="R23" s="25">
        <f t="shared" si="12"/>
        <v>0.42311602209944765</v>
      </c>
      <c r="S23" s="7">
        <v>2.0499999999999998</v>
      </c>
      <c r="T23" s="34">
        <f t="shared" si="2"/>
        <v>1.9137932302090761</v>
      </c>
      <c r="U23" s="5">
        <f t="shared" si="3"/>
        <v>-6.6442326727279871E-2</v>
      </c>
      <c r="V23" s="34">
        <f t="shared" si="13"/>
        <v>3.5003448275862068</v>
      </c>
      <c r="W23" s="5">
        <f t="shared" si="14"/>
        <v>0.70748528174936931</v>
      </c>
      <c r="X23" s="34">
        <f t="shared" si="4"/>
        <v>3.4542736462110404</v>
      </c>
      <c r="Y23" s="25">
        <f t="shared" si="15"/>
        <v>0.68501153473709298</v>
      </c>
      <c r="Z23" s="6">
        <f t="shared" si="5"/>
        <v>7.7299999264787358</v>
      </c>
      <c r="AA23" s="6">
        <f t="shared" si="6"/>
        <v>6.8098000000000001</v>
      </c>
      <c r="AB23" s="9">
        <f t="shared" si="7"/>
        <v>6.8365212851975965</v>
      </c>
    </row>
    <row r="24" spans="2:28" x14ac:dyDescent="0.35">
      <c r="B24" s="15">
        <v>14</v>
      </c>
      <c r="C24" s="39" t="s">
        <v>84</v>
      </c>
      <c r="D24" s="40"/>
      <c r="E24" s="16">
        <v>46280</v>
      </c>
      <c r="F24" s="18">
        <v>0.50347222222222221</v>
      </c>
      <c r="G24" s="18">
        <f t="shared" si="16"/>
        <v>0.91666666666666674</v>
      </c>
      <c r="H24" s="18">
        <f t="shared" si="8"/>
        <v>13.729166666666666</v>
      </c>
      <c r="I24" s="21">
        <f t="shared" si="9"/>
        <v>22</v>
      </c>
      <c r="J24" s="23">
        <f t="shared" si="9"/>
        <v>329.5</v>
      </c>
      <c r="K24" s="30">
        <v>2.25</v>
      </c>
      <c r="L24" s="34">
        <v>2.25</v>
      </c>
      <c r="M24" s="25">
        <f t="shared" si="0"/>
        <v>0</v>
      </c>
      <c r="N24" s="30">
        <v>0.70499999999999996</v>
      </c>
      <c r="O24" s="34">
        <f t="shared" si="10"/>
        <v>0.92660000000000009</v>
      </c>
      <c r="P24" s="5">
        <f t="shared" si="1"/>
        <v>0.31432624113475199</v>
      </c>
      <c r="Q24" s="34">
        <f t="shared" si="11"/>
        <v>1.0118750000000001</v>
      </c>
      <c r="R24" s="25">
        <f t="shared" si="12"/>
        <v>0.43528368794326261</v>
      </c>
      <c r="S24" s="7">
        <v>2.4500000000000002</v>
      </c>
      <c r="T24" s="34">
        <f t="shared" si="2"/>
        <v>1.9137931365737237</v>
      </c>
      <c r="U24" s="5">
        <f t="shared" si="3"/>
        <v>-0.21885994425562302</v>
      </c>
      <c r="V24" s="34">
        <f t="shared" si="13"/>
        <v>3.4457241379310348</v>
      </c>
      <c r="W24" s="5">
        <f t="shared" si="14"/>
        <v>0.40641801548205492</v>
      </c>
      <c r="X24" s="34">
        <f t="shared" si="4"/>
        <v>3.5050235776637337</v>
      </c>
      <c r="Y24" s="25">
        <f t="shared" si="15"/>
        <v>0.43062186843417694</v>
      </c>
      <c r="Z24" s="6">
        <f t="shared" si="5"/>
        <v>7.7299999807872402</v>
      </c>
      <c r="AA24" s="6">
        <f t="shared" si="6"/>
        <v>6.8414799999999998</v>
      </c>
      <c r="AB24" s="9">
        <f t="shared" si="7"/>
        <v>6.8070863249550344</v>
      </c>
    </row>
    <row r="25" spans="2:28" x14ac:dyDescent="0.35">
      <c r="B25" s="15">
        <v>15</v>
      </c>
      <c r="C25" s="39" t="s">
        <v>85</v>
      </c>
      <c r="D25" s="40"/>
      <c r="E25" s="16">
        <v>46281</v>
      </c>
      <c r="F25" s="18">
        <v>0.57291666666666663</v>
      </c>
      <c r="G25" s="18">
        <f t="shared" si="16"/>
        <v>1.0694444444444442</v>
      </c>
      <c r="H25" s="18">
        <f t="shared" si="8"/>
        <v>14.798611111111111</v>
      </c>
      <c r="I25" s="21">
        <f t="shared" si="9"/>
        <v>25.666666666666664</v>
      </c>
      <c r="J25" s="23">
        <f t="shared" si="9"/>
        <v>355.16666666666669</v>
      </c>
      <c r="K25" s="30">
        <v>1.88</v>
      </c>
      <c r="L25" s="34">
        <v>1.88</v>
      </c>
      <c r="M25" s="25">
        <f t="shared" si="0"/>
        <v>0</v>
      </c>
      <c r="N25" s="30">
        <v>0.92</v>
      </c>
      <c r="O25" s="34">
        <f t="shared" si="10"/>
        <v>1.16784</v>
      </c>
      <c r="P25" s="5">
        <f t="shared" si="1"/>
        <v>0.26939130434782604</v>
      </c>
      <c r="Q25" s="34">
        <f t="shared" si="11"/>
        <v>1.3213800000000002</v>
      </c>
      <c r="R25" s="25">
        <f t="shared" si="12"/>
        <v>0.43628260869565233</v>
      </c>
      <c r="S25" s="7">
        <v>1.9</v>
      </c>
      <c r="T25" s="34">
        <f t="shared" si="2"/>
        <v>1.9137931103697927</v>
      </c>
      <c r="U25" s="5">
        <f t="shared" si="3"/>
        <v>7.259531773575161E-3</v>
      </c>
      <c r="V25" s="34">
        <f t="shared" si="13"/>
        <v>3.3819999999999992</v>
      </c>
      <c r="W25" s="5">
        <f t="shared" si="14"/>
        <v>0.77999999999999969</v>
      </c>
      <c r="X25" s="34">
        <f t="shared" si="4"/>
        <v>3.5689360536008885</v>
      </c>
      <c r="Y25" s="25">
        <f t="shared" si="15"/>
        <v>0.87838739663204668</v>
      </c>
      <c r="Z25" s="6">
        <f t="shared" si="5"/>
        <v>7.7299999959855201</v>
      </c>
      <c r="AA25" s="6">
        <f t="shared" si="6"/>
        <v>6.8784400000000003</v>
      </c>
      <c r="AB25" s="9">
        <f t="shared" si="7"/>
        <v>6.7700170889114846</v>
      </c>
    </row>
    <row r="26" spans="2:28" x14ac:dyDescent="0.35">
      <c r="B26" s="15">
        <v>16</v>
      </c>
      <c r="C26" s="39" t="s">
        <v>86</v>
      </c>
      <c r="D26" s="40"/>
      <c r="E26" s="16">
        <v>46282</v>
      </c>
      <c r="F26" s="18">
        <v>0.59722222222222221</v>
      </c>
      <c r="G26" s="18">
        <f t="shared" si="16"/>
        <v>1.0243055555555558</v>
      </c>
      <c r="H26" s="18">
        <f t="shared" si="8"/>
        <v>15.822916666666666</v>
      </c>
      <c r="I26" s="21">
        <f t="shared" si="9"/>
        <v>24.583333333333336</v>
      </c>
      <c r="J26" s="23">
        <f t="shared" si="9"/>
        <v>379.75</v>
      </c>
      <c r="K26" s="30">
        <v>2</v>
      </c>
      <c r="L26" s="34">
        <v>2</v>
      </c>
      <c r="M26" s="25">
        <f t="shared" si="0"/>
        <v>0</v>
      </c>
      <c r="N26" s="30">
        <v>0.83799999999999997</v>
      </c>
      <c r="O26" s="34">
        <f t="shared" si="10"/>
        <v>1.0896000000000001</v>
      </c>
      <c r="P26" s="5">
        <f t="shared" si="1"/>
        <v>0.30023866348448708</v>
      </c>
      <c r="Q26" s="34">
        <f t="shared" si="11"/>
        <v>1.2210000000000001</v>
      </c>
      <c r="R26" s="25">
        <f t="shared" si="12"/>
        <v>0.45704057279236293</v>
      </c>
      <c r="S26" s="7">
        <v>1.45</v>
      </c>
      <c r="T26" s="34">
        <f t="shared" si="2"/>
        <v>1.9137931049933181</v>
      </c>
      <c r="U26" s="5">
        <f t="shared" si="3"/>
        <v>0.3198573137884953</v>
      </c>
      <c r="V26" s="34">
        <f t="shared" si="13"/>
        <v>3.3209655172413783</v>
      </c>
      <c r="W26" s="5">
        <f t="shared" si="14"/>
        <v>1.2903210463733645</v>
      </c>
      <c r="X26" s="34">
        <f t="shared" si="4"/>
        <v>3.6357320183556063</v>
      </c>
      <c r="Y26" s="25">
        <f t="shared" si="15"/>
        <v>1.5074013919693838</v>
      </c>
      <c r="Z26" s="6">
        <f t="shared" si="5"/>
        <v>7.7299999991038755</v>
      </c>
      <c r="AA26" s="6">
        <f t="shared" si="6"/>
        <v>6.9138400000000004</v>
      </c>
      <c r="AB26" s="9">
        <f t="shared" si="7"/>
        <v>6.7312754293537482</v>
      </c>
    </row>
    <row r="27" spans="2:28" x14ac:dyDescent="0.35">
      <c r="B27" s="15">
        <v>17</v>
      </c>
      <c r="C27" s="39" t="s">
        <v>87</v>
      </c>
      <c r="D27" s="40"/>
      <c r="E27" s="16">
        <v>46283</v>
      </c>
      <c r="F27" s="18">
        <v>0.625</v>
      </c>
      <c r="G27" s="18">
        <f t="shared" si="16"/>
        <v>1.0277777777777777</v>
      </c>
      <c r="H27" s="18">
        <f t="shared" si="8"/>
        <v>16.850694444444443</v>
      </c>
      <c r="I27" s="21">
        <f t="shared" si="9"/>
        <v>24.666666666666664</v>
      </c>
      <c r="J27" s="23">
        <f t="shared" si="9"/>
        <v>404.41666666666663</v>
      </c>
      <c r="K27" s="30">
        <v>1.79</v>
      </c>
      <c r="L27" s="34">
        <v>1.79</v>
      </c>
      <c r="M27" s="25">
        <f t="shared" si="0"/>
        <v>0</v>
      </c>
      <c r="N27" s="30">
        <v>1.22</v>
      </c>
      <c r="O27" s="34">
        <f t="shared" si="10"/>
        <v>1.2265200000000001</v>
      </c>
      <c r="P27" s="5">
        <f t="shared" si="1"/>
        <v>5.3442622950820341E-3</v>
      </c>
      <c r="Q27" s="34">
        <f t="shared" si="11"/>
        <v>1.396665</v>
      </c>
      <c r="R27" s="25">
        <f t="shared" si="12"/>
        <v>0.1448073770491804</v>
      </c>
      <c r="S27" s="7">
        <v>1.28</v>
      </c>
      <c r="T27" s="34">
        <f t="shared" si="2"/>
        <v>1.9137931037914166</v>
      </c>
      <c r="U27" s="5">
        <f t="shared" si="3"/>
        <v>0.49515086233704425</v>
      </c>
      <c r="V27" s="34">
        <f t="shared" si="13"/>
        <v>3.2597241379310335</v>
      </c>
      <c r="W27" s="5">
        <f t="shared" si="14"/>
        <v>1.54665948275862</v>
      </c>
      <c r="X27" s="34">
        <f t="shared" si="4"/>
        <v>3.7093366683896534</v>
      </c>
      <c r="Y27" s="25">
        <f t="shared" si="15"/>
        <v>1.8979192721794165</v>
      </c>
      <c r="Z27" s="6">
        <f t="shared" si="5"/>
        <v>7.7299999998009783</v>
      </c>
      <c r="AA27" s="6">
        <f t="shared" si="6"/>
        <v>6.9493600000000004</v>
      </c>
      <c r="AB27" s="9">
        <f t="shared" si="7"/>
        <v>6.6885847323340011</v>
      </c>
    </row>
    <row r="28" spans="2:28" x14ac:dyDescent="0.35">
      <c r="B28" s="15">
        <v>18</v>
      </c>
      <c r="C28" s="39" t="s">
        <v>88</v>
      </c>
      <c r="D28" s="40"/>
      <c r="E28" s="16">
        <v>46284</v>
      </c>
      <c r="F28" s="18">
        <v>0.4375</v>
      </c>
      <c r="G28" s="18">
        <f t="shared" si="16"/>
        <v>0.8125</v>
      </c>
      <c r="H28" s="18">
        <f t="shared" si="8"/>
        <v>17.663194444444443</v>
      </c>
      <c r="I28" s="21">
        <f t="shared" si="9"/>
        <v>19.5</v>
      </c>
      <c r="J28" s="23">
        <f t="shared" si="9"/>
        <v>423.91666666666663</v>
      </c>
      <c r="K28" s="30">
        <v>2.2999999999999998</v>
      </c>
      <c r="L28" s="34">
        <v>2.2999999999999998</v>
      </c>
      <c r="M28" s="25">
        <f t="shared" si="0"/>
        <v>0</v>
      </c>
      <c r="N28" s="30">
        <v>1.1000000000000001</v>
      </c>
      <c r="O28" s="34">
        <f t="shared" si="10"/>
        <v>0.89400000000000013</v>
      </c>
      <c r="P28" s="5">
        <f t="shared" si="1"/>
        <v>-0.18727272727272723</v>
      </c>
      <c r="Q28" s="34">
        <f t="shared" si="11"/>
        <v>0.9700500000000003</v>
      </c>
      <c r="R28" s="25">
        <f t="shared" si="12"/>
        <v>-0.11813636363636343</v>
      </c>
      <c r="S28" s="7">
        <v>1.48</v>
      </c>
      <c r="T28" s="34">
        <f t="shared" si="2"/>
        <v>1.9137931035527187</v>
      </c>
      <c r="U28" s="5">
        <f t="shared" si="3"/>
        <v>0.29310344834643159</v>
      </c>
      <c r="V28" s="34">
        <f t="shared" si="13"/>
        <v>3.2113103448275866</v>
      </c>
      <c r="W28" s="5">
        <f t="shared" si="14"/>
        <v>1.1698042870456666</v>
      </c>
      <c r="X28" s="34">
        <f t="shared" si="4"/>
        <v>3.7731212656804631</v>
      </c>
      <c r="Y28" s="25">
        <f t="shared" si="15"/>
        <v>1.5494062605949075</v>
      </c>
      <c r="Z28" s="6">
        <f t="shared" si="5"/>
        <v>7.7299999999394231</v>
      </c>
      <c r="AA28" s="6">
        <f t="shared" si="6"/>
        <v>6.9774399999999996</v>
      </c>
      <c r="AB28" s="9">
        <f t="shared" si="7"/>
        <v>6.6515896659053313</v>
      </c>
    </row>
    <row r="29" spans="2:28" x14ac:dyDescent="0.35">
      <c r="B29" s="15">
        <v>19</v>
      </c>
      <c r="C29" s="39" t="s">
        <v>89</v>
      </c>
      <c r="D29" s="40"/>
      <c r="E29" s="16">
        <v>46286</v>
      </c>
      <c r="F29" s="18">
        <v>0.61250000000000004</v>
      </c>
      <c r="G29" s="18">
        <f>F29+2-F28</f>
        <v>2.1749999999999998</v>
      </c>
      <c r="H29" s="18">
        <f t="shared" si="8"/>
        <v>19.838194444444444</v>
      </c>
      <c r="I29" s="21">
        <f t="shared" si="9"/>
        <v>52.199999999999989</v>
      </c>
      <c r="J29" s="23">
        <f t="shared" si="9"/>
        <v>476.11666666666667</v>
      </c>
      <c r="K29" s="30">
        <v>1.6</v>
      </c>
      <c r="L29" s="34">
        <v>1.6</v>
      </c>
      <c r="M29" s="25">
        <f t="shared" si="0"/>
        <v>0</v>
      </c>
      <c r="N29" s="30">
        <v>1.41</v>
      </c>
      <c r="O29" s="34">
        <f t="shared" si="10"/>
        <v>1.3504</v>
      </c>
      <c r="P29" s="5">
        <f t="shared" si="1"/>
        <v>-4.2269503546099207E-2</v>
      </c>
      <c r="Q29" s="34">
        <f t="shared" si="11"/>
        <v>1.5556000000000001</v>
      </c>
      <c r="R29" s="25">
        <f t="shared" si="12"/>
        <v>0.10326241134751786</v>
      </c>
      <c r="S29" s="7">
        <v>2</v>
      </c>
      <c r="T29" s="34">
        <f t="shared" si="2"/>
        <v>1.913793103452601</v>
      </c>
      <c r="U29" s="5">
        <f t="shared" si="3"/>
        <v>-4.3103448273699496E-2</v>
      </c>
      <c r="V29" s="34">
        <f t="shared" si="13"/>
        <v>3.0817103448275858</v>
      </c>
      <c r="W29" s="5">
        <f t="shared" si="14"/>
        <v>0.54085517241379288</v>
      </c>
      <c r="X29" s="34">
        <f t="shared" si="4"/>
        <v>3.9766726334504106</v>
      </c>
      <c r="Y29" s="25">
        <f t="shared" si="15"/>
        <v>0.98833631672520528</v>
      </c>
      <c r="Z29" s="6">
        <f t="shared" si="5"/>
        <v>7.7299999999974913</v>
      </c>
      <c r="AA29" s="6">
        <f t="shared" si="6"/>
        <v>7.0526080000000002</v>
      </c>
      <c r="AB29" s="9">
        <f t="shared" si="7"/>
        <v>6.5335298725987618</v>
      </c>
    </row>
    <row r="30" spans="2:28" x14ac:dyDescent="0.35">
      <c r="B30" s="13">
        <v>20</v>
      </c>
      <c r="C30" s="39" t="s">
        <v>90</v>
      </c>
      <c r="D30" s="40"/>
      <c r="E30" s="16">
        <v>46287</v>
      </c>
      <c r="F30" s="18">
        <v>0.63194444444444442</v>
      </c>
      <c r="G30" s="18">
        <f t="shared" si="16"/>
        <v>1.0194444444444444</v>
      </c>
      <c r="H30" s="18">
        <f t="shared" si="8"/>
        <v>20.857638888888889</v>
      </c>
      <c r="I30" s="21">
        <f t="shared" si="9"/>
        <v>24.466666666666665</v>
      </c>
      <c r="J30" s="23">
        <f t="shared" si="9"/>
        <v>500.58333333333331</v>
      </c>
      <c r="K30" s="30">
        <v>2.2599999999999998</v>
      </c>
      <c r="L30" s="34">
        <v>2.2599999999999998</v>
      </c>
      <c r="M30" s="25">
        <f t="shared" si="0"/>
        <v>0</v>
      </c>
      <c r="N30" s="30">
        <v>1.21</v>
      </c>
      <c r="O30" s="34">
        <f t="shared" si="10"/>
        <v>0.92008000000000023</v>
      </c>
      <c r="P30" s="5">
        <f t="shared" si="1"/>
        <v>-0.23960330578512376</v>
      </c>
      <c r="Q30" s="34">
        <f t="shared" si="11"/>
        <v>1.0035100000000003</v>
      </c>
      <c r="R30" s="25">
        <f t="shared" si="12"/>
        <v>-0.17065289256198315</v>
      </c>
      <c r="S30" s="7">
        <v>1.95</v>
      </c>
      <c r="T30" s="34">
        <f t="shared" si="2"/>
        <v>1.913793103449249</v>
      </c>
      <c r="U30" s="5">
        <f t="shared" si="3"/>
        <v>-1.8567639256795349E-2</v>
      </c>
      <c r="V30" s="34">
        <f t="shared" si="13"/>
        <v>3.0209655172413794</v>
      </c>
      <c r="W30" s="5">
        <f t="shared" si="14"/>
        <v>0.54921308576480998</v>
      </c>
      <c r="X30" s="34">
        <f t="shared" si="4"/>
        <v>4.095213490158641</v>
      </c>
      <c r="Y30" s="25">
        <f t="shared" si="15"/>
        <v>1.1001094821326363</v>
      </c>
      <c r="Z30" s="6">
        <f t="shared" si="5"/>
        <v>7.7299999999994355</v>
      </c>
      <c r="AA30" s="6">
        <f t="shared" si="6"/>
        <v>7.0878399999999999</v>
      </c>
      <c r="AB30" s="9">
        <f t="shared" si="7"/>
        <v>6.4647761757079882</v>
      </c>
    </row>
    <row r="31" spans="2:28" ht="15" thickBot="1" x14ac:dyDescent="0.4">
      <c r="B31" s="14">
        <v>21</v>
      </c>
      <c r="C31" s="44" t="s">
        <v>91</v>
      </c>
      <c r="D31" s="45"/>
      <c r="E31" s="17">
        <v>46288</v>
      </c>
      <c r="F31" s="19">
        <v>0.60416666666666663</v>
      </c>
      <c r="G31" s="19">
        <f t="shared" si="16"/>
        <v>0.9722222222222221</v>
      </c>
      <c r="H31" s="19">
        <f t="shared" si="8"/>
        <v>21.829861111111111</v>
      </c>
      <c r="I31" s="22">
        <f t="shared" si="9"/>
        <v>23.333333333333329</v>
      </c>
      <c r="J31" s="24">
        <f t="shared" si="9"/>
        <v>523.91666666666663</v>
      </c>
      <c r="K31" s="31">
        <v>1.97</v>
      </c>
      <c r="L31" s="35">
        <v>1.97</v>
      </c>
      <c r="M31" s="26">
        <f t="shared" si="0"/>
        <v>0</v>
      </c>
      <c r="N31" s="31">
        <v>1.56</v>
      </c>
      <c r="O31" s="35">
        <f t="shared" si="10"/>
        <v>1.1091600000000001</v>
      </c>
      <c r="P31" s="11">
        <f t="shared" si="1"/>
        <v>-0.28899999999999992</v>
      </c>
      <c r="Q31" s="35">
        <f t="shared" si="11"/>
        <v>1.2460950000000002</v>
      </c>
      <c r="R31" s="26">
        <f t="shared" si="12"/>
        <v>-0.20122115384615377</v>
      </c>
      <c r="S31" s="32">
        <v>1.1399999999999999</v>
      </c>
      <c r="T31" s="35">
        <f t="shared" si="2"/>
        <v>1.9137931034485094</v>
      </c>
      <c r="U31" s="11">
        <f t="shared" si="3"/>
        <v>0.67876588021799089</v>
      </c>
      <c r="V31" s="35">
        <f t="shared" si="13"/>
        <v>2.963034482758621</v>
      </c>
      <c r="W31" s="11">
        <f t="shared" si="14"/>
        <v>1.5991530550514221</v>
      </c>
      <c r="X31" s="35">
        <f t="shared" si="4"/>
        <v>4.2289691606632376</v>
      </c>
      <c r="Y31" s="26">
        <f t="shared" si="15"/>
        <v>2.7096220707572263</v>
      </c>
      <c r="Z31" s="10">
        <f t="shared" si="5"/>
        <v>7.7299999999998645</v>
      </c>
      <c r="AA31" s="10">
        <f t="shared" si="6"/>
        <v>7.1214399999999998</v>
      </c>
      <c r="AB31" s="12">
        <f t="shared" si="7"/>
        <v>6.3871978868153221</v>
      </c>
    </row>
  </sheetData>
  <mergeCells count="31">
    <mergeCell ref="S8:Y8"/>
    <mergeCell ref="N9:O9"/>
    <mergeCell ref="N8:R8"/>
    <mergeCell ref="K8:M8"/>
    <mergeCell ref="S9:T9"/>
    <mergeCell ref="C26:D26"/>
    <mergeCell ref="Z8:AB8"/>
    <mergeCell ref="Z9:AB9"/>
    <mergeCell ref="K9:L9"/>
    <mergeCell ref="C8:D10"/>
    <mergeCell ref="C21:D21"/>
    <mergeCell ref="C22:D22"/>
    <mergeCell ref="C25:D25"/>
    <mergeCell ref="C24:D24"/>
    <mergeCell ref="C23:D23"/>
    <mergeCell ref="C15:D15"/>
    <mergeCell ref="C16:D16"/>
    <mergeCell ref="C17:D17"/>
    <mergeCell ref="C18:D18"/>
    <mergeCell ref="C19:D19"/>
    <mergeCell ref="C20:D20"/>
    <mergeCell ref="C31:D31"/>
    <mergeCell ref="C30:D30"/>
    <mergeCell ref="C29:D29"/>
    <mergeCell ref="C28:D28"/>
    <mergeCell ref="C27:D27"/>
    <mergeCell ref="C11:D11"/>
    <mergeCell ref="C12:D12"/>
    <mergeCell ref="C13:D13"/>
    <mergeCell ref="C14:D14"/>
    <mergeCell ref="B8:B10"/>
  </mergeCells>
  <conditionalFormatting sqref="M11:M31">
    <cfRule type="cellIs" dxfId="29" priority="1" operator="greaterThan">
      <formula>0.15</formula>
    </cfRule>
    <cfRule type="cellIs" dxfId="28" priority="2" operator="between">
      <formula>-0.05</formula>
      <formula>-0.15</formula>
    </cfRule>
    <cfRule type="cellIs" dxfId="27" priority="3" operator="between">
      <formula>-0.05</formula>
      <formula>0.05</formula>
    </cfRule>
    <cfRule type="cellIs" dxfId="26" priority="4" operator="between">
      <formula>0.051</formula>
      <formula>0.15</formula>
    </cfRule>
    <cfRule type="cellIs" dxfId="25" priority="5" operator="lessThan">
      <formula>-0.15</formula>
    </cfRule>
  </conditionalFormatting>
  <conditionalFormatting sqref="P11:P31">
    <cfRule type="cellIs" dxfId="24" priority="26" operator="greaterThan">
      <formula>0.15</formula>
    </cfRule>
    <cfRule type="cellIs" dxfId="23" priority="27" operator="between">
      <formula>-0.05</formula>
      <formula>-0.15</formula>
    </cfRule>
    <cfRule type="cellIs" dxfId="22" priority="28" operator="between">
      <formula>-0.05</formula>
      <formula>0.05</formula>
    </cfRule>
    <cfRule type="cellIs" dxfId="21" priority="29" operator="between">
      <formula>0.051</formula>
      <formula>0.15</formula>
    </cfRule>
    <cfRule type="cellIs" dxfId="20" priority="30" operator="lessThan">
      <formula>-0.15</formula>
    </cfRule>
  </conditionalFormatting>
  <conditionalFormatting sqref="R11:R31">
    <cfRule type="cellIs" dxfId="19" priority="21" operator="greaterThan">
      <formula>0.15</formula>
    </cfRule>
    <cfRule type="cellIs" dxfId="18" priority="22" operator="between">
      <formula>-0.05</formula>
      <formula>-0.15</formula>
    </cfRule>
    <cfRule type="cellIs" dxfId="17" priority="23" operator="between">
      <formula>-0.05</formula>
      <formula>0.05</formula>
    </cfRule>
    <cfRule type="cellIs" dxfId="16" priority="24" operator="between">
      <formula>0.051</formula>
      <formula>0.15</formula>
    </cfRule>
    <cfRule type="cellIs" dxfId="15" priority="25" operator="lessThan">
      <formula>-0.15</formula>
    </cfRule>
  </conditionalFormatting>
  <conditionalFormatting sqref="U11:U31">
    <cfRule type="cellIs" dxfId="14" priority="16" operator="greaterThan">
      <formula>0.15</formula>
    </cfRule>
    <cfRule type="cellIs" dxfId="13" priority="17" operator="between">
      <formula>-0.05</formula>
      <formula>-0.15</formula>
    </cfRule>
    <cfRule type="cellIs" dxfId="12" priority="18" operator="between">
      <formula>-0.05</formula>
      <formula>0.05</formula>
    </cfRule>
    <cfRule type="cellIs" dxfId="11" priority="19" operator="between">
      <formula>0.051</formula>
      <formula>0.15</formula>
    </cfRule>
    <cfRule type="cellIs" dxfId="10" priority="20" operator="lessThan">
      <formula>-0.15</formula>
    </cfRule>
  </conditionalFormatting>
  <conditionalFormatting sqref="W11:W31">
    <cfRule type="cellIs" dxfId="9" priority="11" operator="greaterThan">
      <formula>0.15</formula>
    </cfRule>
    <cfRule type="cellIs" dxfId="8" priority="12" operator="between">
      <formula>-0.05</formula>
      <formula>-0.15</formula>
    </cfRule>
    <cfRule type="cellIs" dxfId="7" priority="13" operator="between">
      <formula>-0.05</formula>
      <formula>0.05</formula>
    </cfRule>
    <cfRule type="cellIs" dxfId="6" priority="14" operator="between">
      <formula>0.051</formula>
      <formula>0.15</formula>
    </cfRule>
    <cfRule type="cellIs" dxfId="5" priority="15" operator="lessThan">
      <formula>-0.15</formula>
    </cfRule>
  </conditionalFormatting>
  <conditionalFormatting sqref="Y11:Y31">
    <cfRule type="cellIs" dxfId="4" priority="6" operator="greaterThan">
      <formula>0.15</formula>
    </cfRule>
    <cfRule type="cellIs" dxfId="3" priority="7" operator="between">
      <formula>-0.05</formula>
      <formula>-0.15</formula>
    </cfRule>
    <cfRule type="cellIs" dxfId="2" priority="8" operator="between">
      <formula>-0.05</formula>
      <formula>0.05</formula>
    </cfRule>
    <cfRule type="cellIs" dxfId="1" priority="9" operator="between">
      <formula>0.051</formula>
      <formula>0.15</formula>
    </cfRule>
    <cfRule type="cellIs" dxfId="0" priority="10" operator="lessThan">
      <formula>-0.15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Hoja3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Hernandez</dc:creator>
  <cp:lastModifiedBy>Rodrigo Yebra</cp:lastModifiedBy>
  <dcterms:created xsi:type="dcterms:W3CDTF">2026-09-29T22:28:26Z</dcterms:created>
  <dcterms:modified xsi:type="dcterms:W3CDTF">2026-10-28T18:46:54Z</dcterms:modified>
</cp:coreProperties>
</file>